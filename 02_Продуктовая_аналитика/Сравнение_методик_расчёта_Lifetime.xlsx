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rba\OneDrive\Рабочий стол\Skypro\Портфолио\Бизнес-модуль Эксель. Домашки 1-11\Модуль 2. Продуктовая аналитика\"/>
    </mc:Choice>
  </mc:AlternateContent>
  <xr:revisionPtr revIDLastSave="0" documentId="13_ncr:1_{43C4278E-0DBD-44CA-AF0E-48014DACF305}" xr6:coauthVersionLast="47" xr6:coauthVersionMax="47" xr10:uidLastSave="{00000000-0000-0000-0000-000000000000}"/>
  <bookViews>
    <workbookView xWindow="-120" yWindow="-120" windowWidth="24240" windowHeight="13020" activeTab="2" xr2:uid="{210783F6-30CB-4B29-A716-7F8C52CB3D8C}"/>
  </bookViews>
  <sheets>
    <sheet name="Data" sheetId="1" r:id="rId1"/>
    <sheet name="Базовый" sheetId="4" r:id="rId2"/>
    <sheet name="Цепной" sheetId="3" r:id="rId3"/>
  </sheets>
  <definedNames>
    <definedName name="_xlnm._FilterDatabase" localSheetId="0" hidden="1">Data!$A$1:$B$1974</definedName>
  </definedName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3" l="1"/>
  <c r="Y26" i="4"/>
  <c r="Y17" i="4"/>
  <c r="Y18" i="4"/>
  <c r="Y19" i="4"/>
  <c r="Y20" i="4"/>
  <c r="Y21" i="4"/>
  <c r="Y22" i="4"/>
  <c r="Y23" i="4"/>
  <c r="Y24" i="4"/>
  <c r="Y25" i="4"/>
  <c r="Y16" i="4"/>
  <c r="X26" i="4"/>
  <c r="X17" i="4"/>
  <c r="X18" i="4"/>
  <c r="X19" i="4"/>
  <c r="X20" i="4"/>
  <c r="X21" i="4"/>
  <c r="X22" i="4"/>
  <c r="X23" i="4"/>
  <c r="X24" i="4"/>
  <c r="X25" i="4"/>
  <c r="X16" i="4"/>
  <c r="R16" i="4"/>
  <c r="S16" i="4"/>
  <c r="T16" i="4"/>
  <c r="U16" i="4"/>
  <c r="V16" i="4"/>
  <c r="W16" i="4"/>
  <c r="R17" i="4"/>
  <c r="S17" i="4"/>
  <c r="T17" i="4"/>
  <c r="U17" i="4"/>
  <c r="V17" i="4"/>
  <c r="W17" i="4"/>
  <c r="R18" i="4"/>
  <c r="S18" i="4"/>
  <c r="T18" i="4"/>
  <c r="U18" i="4"/>
  <c r="V18" i="4"/>
  <c r="W18" i="4"/>
  <c r="R19" i="4"/>
  <c r="S19" i="4"/>
  <c r="T19" i="4"/>
  <c r="U19" i="4"/>
  <c r="V19" i="4"/>
  <c r="W19" i="4"/>
  <c r="R20" i="4"/>
  <c r="S20" i="4"/>
  <c r="T20" i="4"/>
  <c r="U20" i="4"/>
  <c r="V20" i="4"/>
  <c r="W20" i="4"/>
  <c r="R21" i="4"/>
  <c r="S21" i="4"/>
  <c r="T21" i="4"/>
  <c r="U21" i="4"/>
  <c r="V21" i="4"/>
  <c r="W21" i="4"/>
  <c r="R22" i="4"/>
  <c r="S22" i="4"/>
  <c r="T22" i="4"/>
  <c r="U22" i="4"/>
  <c r="V22" i="4"/>
  <c r="W22" i="4"/>
  <c r="R23" i="4"/>
  <c r="S23" i="4"/>
  <c r="T23" i="4"/>
  <c r="U23" i="4"/>
  <c r="V23" i="4"/>
  <c r="W23" i="4"/>
  <c r="R24" i="4"/>
  <c r="S24" i="4"/>
  <c r="T24" i="4"/>
  <c r="U24" i="4"/>
  <c r="V24" i="4"/>
  <c r="W24" i="4"/>
  <c r="R25" i="4"/>
  <c r="S25" i="4"/>
  <c r="T25" i="4"/>
  <c r="U25" i="4"/>
  <c r="V25" i="4"/>
  <c r="W25" i="4"/>
  <c r="Q17" i="4"/>
  <c r="Q18" i="4"/>
  <c r="Q19" i="4"/>
  <c r="Q20" i="4"/>
  <c r="Q21" i="4"/>
  <c r="Q22" i="4"/>
  <c r="Q23" i="4"/>
  <c r="Q24" i="4"/>
  <c r="Q25" i="4"/>
  <c r="Q16" i="4"/>
  <c r="R3" i="3"/>
  <c r="S3" i="3" s="1"/>
  <c r="R4" i="3"/>
  <c r="S4" i="3" s="1"/>
  <c r="R5" i="3"/>
  <c r="S5" i="3" s="1"/>
  <c r="R6" i="3"/>
  <c r="S6" i="3" s="1"/>
  <c r="R7" i="3"/>
  <c r="S7" i="3" s="1"/>
  <c r="R8" i="3"/>
  <c r="S8" i="3" s="1"/>
  <c r="R9" i="3"/>
  <c r="S9" i="3" s="1"/>
  <c r="R10" i="3"/>
  <c r="S10" i="3" s="1"/>
  <c r="R11" i="3"/>
  <c r="S11" i="3" s="1"/>
  <c r="R2" i="3"/>
  <c r="V1" i="3" l="1"/>
  <c r="V3" i="3" s="1"/>
  <c r="V2" i="3"/>
  <c r="V4" i="3" l="1"/>
  <c r="V6" i="3"/>
  <c r="V8" i="3" s="1"/>
</calcChain>
</file>

<file path=xl/sharedStrings.xml><?xml version="1.0" encoding="utf-8"?>
<sst xmlns="http://schemas.openxmlformats.org/spreadsheetml/2006/main" count="97" uniqueCount="53">
  <si>
    <t>id_client</t>
  </si>
  <si>
    <t>date_reg</t>
  </si>
  <si>
    <t>Названия строк</t>
  </si>
  <si>
    <t>Общий итог</t>
  </si>
  <si>
    <t>Минимум по полю date_reg</t>
  </si>
  <si>
    <t>min_date</t>
  </si>
  <si>
    <t>2022</t>
  </si>
  <si>
    <t>2023</t>
  </si>
  <si>
    <t>Количество по полю id_client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</si>
  <si>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</si>
  <si>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</si>
  <si>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</si>
  <si>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</si>
  <si>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</si>
  <si>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</si>
  <si>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</si>
  <si>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</si>
  <si>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</si>
  <si>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</si>
  <si>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</si>
  <si>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</si>
  <si>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Количество id_client</t>
  </si>
  <si>
    <t>cnt_reg</t>
  </si>
  <si>
    <t>Month</t>
  </si>
  <si>
    <t>cnt_all</t>
  </si>
  <si>
    <t>cnt_new</t>
  </si>
  <si>
    <t>cnt_old</t>
  </si>
  <si>
    <t>retention</t>
  </si>
  <si>
    <t>avg_ret (геом)</t>
  </si>
  <si>
    <t>avg_ret (ариф)</t>
  </si>
  <si>
    <t>LT</t>
  </si>
  <si>
    <t>LTR</t>
  </si>
  <si>
    <t>Названия столбцов</t>
  </si>
  <si>
    <t>ret_30</t>
  </si>
  <si>
    <t>Ret_60</t>
  </si>
  <si>
    <t>ret_90</t>
  </si>
  <si>
    <t>ret_120</t>
  </si>
  <si>
    <t>ret_150</t>
  </si>
  <si>
    <t>ret_180</t>
  </si>
  <si>
    <t>ret_210</t>
  </si>
  <si>
    <t>ret_30_rel</t>
  </si>
  <si>
    <t>ret_60_rel</t>
  </si>
  <si>
    <t>ret_90_rel</t>
  </si>
  <si>
    <t>ret_120_rel</t>
  </si>
  <si>
    <t>ret_150_rel</t>
  </si>
  <si>
    <t>ret_180_rel</t>
  </si>
  <si>
    <t>ret_210_rel</t>
  </si>
  <si>
    <t>lt</t>
  </si>
  <si>
    <t>ARPU</t>
  </si>
  <si>
    <t>Цепной</t>
  </si>
  <si>
    <t>Базовый</t>
  </si>
  <si>
    <t>Разница</t>
  </si>
  <si>
    <t>LT в когортном и некогортном анализе может различаться потому, что в некогортном анализе значения завышены (они являются более приблизительными) за счет более высокого лайфтайма.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</si>
</sst>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\ &quot;₽&quot;"/>
    <numFmt numFmtId="165" formatCode="0.0%"/>
    <numFmt numFmtId="166" formatCode="_-* #,##0.00\ _₽_-;\-* #,##0.00\ _₽_-;_-* &quot;-&quot;??\ _₽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pivotButton="1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 applyAlignment="1">
      <alignment horizontal="left"/>
    </xf>
    <xf numFmtId="0" fontId="0" fillId="0" borderId="5" xfId="0" applyBorder="1"/>
    <xf numFmtId="0" fontId="0" fillId="0" borderId="4" xfId="0" applyBorder="1" applyAlignment="1">
      <alignment horizontal="left" indent="1"/>
    </xf>
    <xf numFmtId="0" fontId="0" fillId="0" borderId="7" xfId="0" applyBorder="1"/>
    <xf numFmtId="0" fontId="0" fillId="0" borderId="12" xfId="0" applyBorder="1"/>
    <xf numFmtId="14" fontId="0" fillId="0" borderId="13" xfId="0" applyNumberFormat="1" applyBorder="1"/>
    <xf numFmtId="0" fontId="0" fillId="0" borderId="2" xfId="0" applyBorder="1"/>
    <xf numFmtId="0" fontId="0" fillId="0" borderId="12" xfId="0" pivotButton="1" applyBorder="1"/>
    <xf numFmtId="0" fontId="2" fillId="2" borderId="14" xfId="0" applyFont="1" applyFill="1" applyBorder="1"/>
    <xf numFmtId="14" fontId="2" fillId="2" borderId="15" xfId="0" applyNumberFormat="1" applyFont="1" applyFill="1" applyBorder="1"/>
    <xf numFmtId="0" fontId="2" fillId="2" borderId="11" xfId="0" applyFont="1" applyFill="1" applyBorder="1"/>
    <xf numFmtId="2" fontId="0" fillId="3" borderId="1" xfId="0" applyNumberFormat="1" applyFill="1" applyBorder="1"/>
    <xf numFmtId="164" fontId="0" fillId="3" borderId="1" xfId="0" applyNumberForma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" xfId="0" pivotButton="1" applyBorder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64" fontId="0" fillId="0" borderId="0" xfId="0" applyNumberFormat="1"/>
    <xf numFmtId="165" fontId="0" fillId="0" borderId="0" xfId="2" applyNumberFormat="1" applyFont="1" applyFill="1" applyBorder="1"/>
    <xf numFmtId="0" fontId="2" fillId="0" borderId="0" xfId="0" applyFont="1"/>
    <xf numFmtId="14" fontId="0" fillId="0" borderId="4" xfId="0" applyNumberFormat="1" applyBorder="1"/>
    <xf numFmtId="165" fontId="0" fillId="0" borderId="5" xfId="2" applyNumberFormat="1" applyFont="1" applyFill="1" applyBorder="1"/>
    <xf numFmtId="14" fontId="0" fillId="0" borderId="6" xfId="0" applyNumberFormat="1" applyBorder="1"/>
    <xf numFmtId="0" fontId="2" fillId="0" borderId="13" xfId="0" applyFont="1" applyBorder="1"/>
    <xf numFmtId="165" fontId="0" fillId="0" borderId="7" xfId="2" applyNumberFormat="1" applyFont="1" applyFill="1" applyBorder="1"/>
    <xf numFmtId="0" fontId="0" fillId="3" borderId="2" xfId="0" applyFill="1" applyBorder="1"/>
    <xf numFmtId="165" fontId="0" fillId="3" borderId="3" xfId="2" applyNumberFormat="1" applyFont="1" applyFill="1" applyBorder="1"/>
    <xf numFmtId="0" fontId="0" fillId="3" borderId="6" xfId="0" applyFill="1" applyBorder="1"/>
    <xf numFmtId="165" fontId="0" fillId="3" borderId="7" xfId="0" applyNumberFormat="1" applyFill="1" applyBorder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0" borderId="4" xfId="2" applyFont="1" applyBorder="1"/>
    <xf numFmtId="9" fontId="0" fillId="0" borderId="0" xfId="2" applyFont="1" applyBorder="1"/>
    <xf numFmtId="9" fontId="0" fillId="0" borderId="5" xfId="2" applyFont="1" applyBorder="1"/>
    <xf numFmtId="9" fontId="0" fillId="0" borderId="6" xfId="2" applyFont="1" applyBorder="1"/>
    <xf numFmtId="9" fontId="0" fillId="0" borderId="13" xfId="2" applyFont="1" applyBorder="1"/>
    <xf numFmtId="9" fontId="0" fillId="0" borderId="7" xfId="2" applyFont="1" applyBorder="1"/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/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3" fontId="0" fillId="4" borderId="3" xfId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43" fontId="0" fillId="4" borderId="5" xfId="1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0" fontId="2" fillId="5" borderId="0" xfId="0" applyFont="1" applyFill="1" applyAlignment="1">
      <alignment horizont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5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й Горбатюк" refreshedDate="45879.730251620371" createdVersion="8" refreshedVersion="8" minRefreshableVersion="3" recordCount="1981" xr:uid="{2E9E6AD4-B16E-42CF-B49E-D9F660B1F534}">
  <cacheSource type="worksheet">
    <worksheetSource ref="A1:B1982" sheet="Data"/>
  </cacheSource>
  <cacheFields count="5">
    <cacheField name="id_client" numFmtId="0">
      <sharedItems containsSemiMixedTypes="0" containsString="0" containsNumber="1" containsInteger="1" minValue="307001" maxValue="309120" count="713">
        <n v="307001"/>
        <n v="307002"/>
        <n v="307006"/>
        <n v="307011"/>
        <n v="307013"/>
        <n v="307014"/>
        <n v="307019"/>
        <n v="307022"/>
        <n v="307026"/>
        <n v="307030"/>
        <n v="307031"/>
        <n v="307033"/>
        <n v="307035"/>
        <n v="307040"/>
        <n v="307044"/>
        <n v="307047"/>
        <n v="307050"/>
        <n v="307053"/>
        <n v="307056"/>
        <n v="307060"/>
        <n v="307063"/>
        <n v="307068"/>
        <n v="307071"/>
        <n v="307075"/>
        <n v="307079"/>
        <n v="307081"/>
        <n v="307083"/>
        <n v="307086"/>
        <n v="307090"/>
        <n v="307091"/>
        <n v="307092"/>
        <n v="307094"/>
        <n v="307095"/>
        <n v="307099"/>
        <n v="307101"/>
        <n v="307102"/>
        <n v="307106"/>
        <n v="307111"/>
        <n v="307116"/>
        <n v="307117"/>
        <n v="307121"/>
        <n v="307122"/>
        <n v="307123"/>
        <n v="307124"/>
        <n v="307128"/>
        <n v="307131"/>
        <n v="307133"/>
        <n v="307134"/>
        <n v="307138"/>
        <n v="307143"/>
        <n v="307145"/>
        <n v="307149"/>
        <n v="307153"/>
        <n v="307154"/>
        <n v="307159"/>
        <n v="307161"/>
        <n v="307166"/>
        <n v="307169"/>
        <n v="307170"/>
        <n v="307172"/>
        <n v="307176"/>
        <n v="307178"/>
        <n v="307183"/>
        <n v="307186"/>
        <n v="307190"/>
        <n v="307192"/>
        <n v="307197"/>
        <n v="307200"/>
        <n v="307204"/>
        <n v="307207"/>
        <n v="307212"/>
        <n v="307215"/>
        <n v="307216"/>
        <n v="307217"/>
        <n v="307219"/>
        <n v="307223"/>
        <n v="307226"/>
        <n v="307227"/>
        <n v="307231"/>
        <n v="307233"/>
        <n v="307237"/>
        <n v="307239"/>
        <n v="307241"/>
        <n v="307245"/>
        <n v="307249"/>
        <n v="307252"/>
        <n v="307255"/>
        <n v="307257"/>
        <n v="307260"/>
        <n v="307261"/>
        <n v="307266"/>
        <n v="307267"/>
        <n v="307271"/>
        <n v="307276"/>
        <n v="307281"/>
        <n v="307284"/>
        <n v="307288"/>
        <n v="307289"/>
        <n v="307291"/>
        <n v="307295"/>
        <n v="307297"/>
        <n v="307299"/>
        <n v="307304"/>
        <n v="307305"/>
        <n v="307307"/>
        <n v="307308"/>
        <n v="307309"/>
        <n v="307313"/>
        <n v="307316"/>
        <n v="307320"/>
        <n v="307323"/>
        <n v="307328"/>
        <n v="307331"/>
        <n v="307336"/>
        <n v="307341"/>
        <n v="307346"/>
        <n v="307349"/>
        <n v="307351"/>
        <n v="307356"/>
        <n v="307357"/>
        <n v="307358"/>
        <n v="307363"/>
        <n v="307365"/>
        <n v="307370"/>
        <n v="307375"/>
        <n v="307377"/>
        <n v="307378"/>
        <n v="307379"/>
        <n v="307381"/>
        <n v="307385"/>
        <n v="307390"/>
        <n v="307395"/>
        <n v="307396"/>
        <n v="307400"/>
        <n v="307403"/>
        <n v="307406"/>
        <n v="307407"/>
        <n v="307412"/>
        <n v="307417"/>
        <n v="307418"/>
        <n v="307421"/>
        <n v="307425"/>
        <n v="307428"/>
        <n v="307429"/>
        <n v="307431"/>
        <n v="307432"/>
        <n v="307435"/>
        <n v="307440"/>
        <n v="307444"/>
        <n v="307449"/>
        <n v="307451"/>
        <n v="307453"/>
        <n v="307458"/>
        <n v="307459"/>
        <n v="307463"/>
        <n v="307467"/>
        <n v="307472"/>
        <n v="307476"/>
        <n v="307479"/>
        <n v="307482"/>
        <n v="307483"/>
        <n v="307486"/>
        <n v="307491"/>
        <n v="307495"/>
        <n v="307498"/>
        <n v="307500"/>
        <n v="307505"/>
        <n v="307509"/>
        <n v="307513"/>
        <n v="307517"/>
        <n v="307518"/>
        <n v="307523"/>
        <n v="307525"/>
        <n v="307526"/>
        <n v="307527"/>
        <n v="307529"/>
        <n v="307531"/>
        <n v="307532"/>
        <n v="307534"/>
        <n v="307537"/>
        <n v="307540"/>
        <n v="307545"/>
        <n v="307550"/>
        <n v="307555"/>
        <n v="307556"/>
        <n v="307561"/>
        <n v="307562"/>
        <n v="307563"/>
        <n v="307568"/>
        <n v="307573"/>
        <n v="307575"/>
        <n v="307578"/>
        <n v="307581"/>
        <n v="307582"/>
        <n v="307587"/>
        <n v="307592"/>
        <n v="307595"/>
        <n v="307596"/>
        <n v="307600"/>
        <n v="307601"/>
        <n v="307606"/>
        <n v="307611"/>
        <n v="307613"/>
        <n v="307614"/>
        <n v="307619"/>
        <n v="307621"/>
        <n v="307626"/>
        <n v="307628"/>
        <n v="307633"/>
        <n v="307634"/>
        <n v="307635"/>
        <n v="307640"/>
        <n v="307645"/>
        <n v="307650"/>
        <n v="307651"/>
        <n v="307653"/>
        <n v="307657"/>
        <n v="307661"/>
        <n v="307662"/>
        <n v="307664"/>
        <n v="307669"/>
        <n v="307674"/>
        <n v="307679"/>
        <n v="307683"/>
        <n v="307688"/>
        <n v="307691"/>
        <n v="307692"/>
        <n v="307696"/>
        <n v="307699"/>
        <n v="307703"/>
        <n v="307708"/>
        <n v="307712"/>
        <n v="307714"/>
        <n v="307719"/>
        <n v="307721"/>
        <n v="307723"/>
        <n v="307724"/>
        <n v="307728"/>
        <n v="307732"/>
        <n v="307737"/>
        <n v="307740"/>
        <n v="307742"/>
        <n v="307743"/>
        <n v="307745"/>
        <n v="307748"/>
        <n v="307749"/>
        <n v="307751"/>
        <n v="307754"/>
        <n v="307759"/>
        <n v="307763"/>
        <n v="307764"/>
        <n v="307768"/>
        <n v="307769"/>
        <n v="307772"/>
        <n v="307774"/>
        <n v="307778"/>
        <n v="307779"/>
        <n v="307782"/>
        <n v="307787"/>
        <n v="307791"/>
        <n v="307792"/>
        <n v="307795"/>
        <n v="307800"/>
        <n v="307803"/>
        <n v="307808"/>
        <n v="307811"/>
        <n v="307816"/>
        <n v="307819"/>
        <n v="307822"/>
        <n v="307826"/>
        <n v="307827"/>
        <n v="307830"/>
        <n v="307834"/>
        <n v="307837"/>
        <n v="307838"/>
        <n v="307843"/>
        <n v="307847"/>
        <n v="307850"/>
        <n v="307853"/>
        <n v="307856"/>
        <n v="307860"/>
        <n v="307863"/>
        <n v="307867"/>
        <n v="307869"/>
        <n v="307872"/>
        <n v="307873"/>
        <n v="307876"/>
        <n v="307877"/>
        <n v="307881"/>
        <n v="307884"/>
        <n v="307885"/>
        <n v="307888"/>
        <n v="307891"/>
        <n v="307894"/>
        <n v="307897"/>
        <n v="307901"/>
        <n v="307903"/>
        <n v="307908"/>
        <n v="307911"/>
        <n v="307915"/>
        <n v="307916"/>
        <n v="307920"/>
        <n v="307922"/>
        <n v="307923"/>
        <n v="307928"/>
        <n v="307932"/>
        <n v="307937"/>
        <n v="307939"/>
        <n v="307940"/>
        <n v="307941"/>
        <n v="307942"/>
        <n v="307946"/>
        <n v="307949"/>
        <n v="307954"/>
        <n v="307957"/>
        <n v="307962"/>
        <n v="307964"/>
        <n v="307969"/>
        <n v="307971"/>
        <n v="307972"/>
        <n v="307976"/>
        <n v="307979"/>
        <n v="307983"/>
        <n v="307985"/>
        <n v="307986"/>
        <n v="307988"/>
        <n v="307990"/>
        <n v="307993"/>
        <n v="307998"/>
        <n v="308000"/>
        <n v="308001"/>
        <n v="308004"/>
        <n v="308008"/>
        <n v="308011"/>
        <n v="308013"/>
        <n v="308018"/>
        <n v="308023"/>
        <n v="308024"/>
        <n v="308029"/>
        <n v="308032"/>
        <n v="308035"/>
        <n v="308040"/>
        <n v="308041"/>
        <n v="308046"/>
        <n v="308048"/>
        <n v="308050"/>
        <n v="308051"/>
        <n v="308055"/>
        <n v="308059"/>
        <n v="308063"/>
        <n v="308066"/>
        <n v="308067"/>
        <n v="308068"/>
        <n v="308073"/>
        <n v="308077"/>
        <n v="308082"/>
        <n v="308084"/>
        <n v="308085"/>
        <n v="308086"/>
        <n v="308089"/>
        <n v="308090"/>
        <n v="308095"/>
        <n v="308100"/>
        <n v="308101"/>
        <n v="308106"/>
        <n v="308111"/>
        <n v="308116"/>
        <n v="308118"/>
        <n v="308122"/>
        <n v="308127"/>
        <n v="308129"/>
        <n v="308133"/>
        <n v="308138"/>
        <n v="308141"/>
        <n v="308143"/>
        <n v="308144"/>
        <n v="308147"/>
        <n v="308150"/>
        <n v="308155"/>
        <n v="308159"/>
        <n v="308160"/>
        <n v="308162"/>
        <n v="308163"/>
        <n v="308164"/>
        <n v="308169"/>
        <n v="308173"/>
        <n v="308175"/>
        <n v="308177"/>
        <n v="308179"/>
        <n v="308181"/>
        <n v="308185"/>
        <n v="308189"/>
        <n v="308192"/>
        <n v="308194"/>
        <n v="308198"/>
        <n v="308201"/>
        <n v="308205"/>
        <n v="308206"/>
        <n v="308211"/>
        <n v="308213"/>
        <n v="308217"/>
        <n v="308222"/>
        <n v="308223"/>
        <n v="308224"/>
        <n v="308226"/>
        <n v="308231"/>
        <n v="308235"/>
        <n v="308238"/>
        <n v="308241"/>
        <n v="308246"/>
        <n v="308249"/>
        <n v="308252"/>
        <n v="308255"/>
        <n v="308256"/>
        <n v="308257"/>
        <n v="308258"/>
        <n v="308263"/>
        <n v="308266"/>
        <n v="308267"/>
        <n v="308270"/>
        <n v="308272"/>
        <n v="308274"/>
        <n v="308275"/>
        <n v="308278"/>
        <n v="308279"/>
        <n v="308280"/>
        <n v="308282"/>
        <n v="308286"/>
        <n v="308288"/>
        <n v="308293"/>
        <n v="308294"/>
        <n v="308299"/>
        <n v="308304"/>
        <n v="308308"/>
        <n v="308313"/>
        <n v="308318"/>
        <n v="308323"/>
        <n v="308328"/>
        <n v="308333"/>
        <n v="308337"/>
        <n v="308340"/>
        <n v="308342"/>
        <n v="308347"/>
        <n v="308348"/>
        <n v="308352"/>
        <n v="308353"/>
        <n v="308356"/>
        <n v="308361"/>
        <n v="308363"/>
        <n v="308368"/>
        <n v="308369"/>
        <n v="308372"/>
        <n v="308374"/>
        <n v="308379"/>
        <n v="308380"/>
        <n v="308382"/>
        <n v="308387"/>
        <n v="308392"/>
        <n v="308397"/>
        <n v="308399"/>
        <n v="308400"/>
        <n v="308405"/>
        <n v="308410"/>
        <n v="308414"/>
        <n v="308416"/>
        <n v="308420"/>
        <n v="308423"/>
        <n v="308426"/>
        <n v="308429"/>
        <n v="308431"/>
        <n v="308433"/>
        <n v="308438"/>
        <n v="308439"/>
        <n v="308442"/>
        <n v="308445"/>
        <n v="308446"/>
        <n v="308447"/>
        <n v="308451"/>
        <n v="308456"/>
        <n v="308461"/>
        <n v="308465"/>
        <n v="308468"/>
        <n v="308473"/>
        <n v="308474"/>
        <n v="308475"/>
        <n v="308479"/>
        <n v="308480"/>
        <n v="308481"/>
        <n v="308483"/>
        <n v="308488"/>
        <n v="308493"/>
        <n v="308496"/>
        <n v="308497"/>
        <n v="308498"/>
        <n v="308502"/>
        <n v="308506"/>
        <n v="308510"/>
        <n v="308513"/>
        <n v="308514"/>
        <n v="308515"/>
        <n v="308520"/>
        <n v="308524"/>
        <n v="308525"/>
        <n v="308526"/>
        <n v="308531"/>
        <n v="308534"/>
        <n v="308536"/>
        <n v="308540"/>
        <n v="308545"/>
        <n v="308549"/>
        <n v="308551"/>
        <n v="308555"/>
        <n v="308559"/>
        <n v="308564"/>
        <n v="308565"/>
        <n v="308569"/>
        <n v="308572"/>
        <n v="308576"/>
        <n v="308579"/>
        <n v="308582"/>
        <n v="308585"/>
        <n v="308589"/>
        <n v="308594"/>
        <n v="308599"/>
        <n v="308603"/>
        <n v="308605"/>
        <n v="308608"/>
        <n v="308612"/>
        <n v="308616"/>
        <n v="308621"/>
        <n v="308623"/>
        <n v="308625"/>
        <n v="308626"/>
        <n v="308629"/>
        <n v="308630"/>
        <n v="308633"/>
        <n v="308634"/>
        <n v="308635"/>
        <n v="308636"/>
        <n v="308641"/>
        <n v="308642"/>
        <n v="308643"/>
        <n v="308648"/>
        <n v="308650"/>
        <n v="308654"/>
        <n v="308659"/>
        <n v="308664"/>
        <n v="308668"/>
        <n v="308672"/>
        <n v="308677"/>
        <n v="308680"/>
        <n v="308682"/>
        <n v="308687"/>
        <n v="308688"/>
        <n v="308691"/>
        <n v="308696"/>
        <n v="308700"/>
        <n v="308703"/>
        <n v="308706"/>
        <n v="308710"/>
        <n v="308713"/>
        <n v="308717"/>
        <n v="308718"/>
        <n v="308723"/>
        <n v="308725"/>
        <n v="308726"/>
        <n v="308728"/>
        <n v="308731"/>
        <n v="308732"/>
        <n v="308733"/>
        <n v="308737"/>
        <n v="308740"/>
        <n v="308741"/>
        <n v="308742"/>
        <n v="308744"/>
        <n v="308745"/>
        <n v="308750"/>
        <n v="308753"/>
        <n v="308757"/>
        <n v="308759"/>
        <n v="308762"/>
        <n v="308766"/>
        <n v="308767"/>
        <n v="308768"/>
        <n v="308772"/>
        <n v="308777"/>
        <n v="308778"/>
        <n v="308781"/>
        <n v="308785"/>
        <n v="308788"/>
        <n v="308792"/>
        <n v="308795"/>
        <n v="308799"/>
        <n v="308803"/>
        <n v="308806"/>
        <n v="308809"/>
        <n v="308814"/>
        <n v="308817"/>
        <n v="308819"/>
        <n v="308822"/>
        <n v="308826"/>
        <n v="308828"/>
        <n v="308830"/>
        <n v="308834"/>
        <n v="308836"/>
        <n v="308840"/>
        <n v="308842"/>
        <n v="308844"/>
        <n v="308847"/>
        <n v="308849"/>
        <n v="308851"/>
        <n v="308852"/>
        <n v="308854"/>
        <n v="308857"/>
        <n v="308858"/>
        <n v="308859"/>
        <n v="308861"/>
        <n v="308862"/>
        <n v="308863"/>
        <n v="308865"/>
        <n v="308868"/>
        <n v="308871"/>
        <n v="308872"/>
        <n v="308873"/>
        <n v="308877"/>
        <n v="308879"/>
        <n v="308883"/>
        <n v="308886"/>
        <n v="308889"/>
        <n v="308890"/>
        <n v="308893"/>
        <n v="308895"/>
        <n v="308898"/>
        <n v="308903"/>
        <n v="308906"/>
        <n v="308911"/>
        <n v="308915"/>
        <n v="308917"/>
        <n v="308918"/>
        <n v="308923"/>
        <n v="308927"/>
        <n v="308930"/>
        <n v="308931"/>
        <n v="308934"/>
        <n v="308935"/>
        <n v="308937"/>
        <n v="308942"/>
        <n v="308946"/>
        <n v="308948"/>
        <n v="308952"/>
        <n v="308954"/>
        <n v="308957"/>
        <n v="308960"/>
        <n v="308964"/>
        <n v="308969"/>
        <n v="308973"/>
        <n v="308978"/>
        <n v="308980"/>
        <n v="308981"/>
        <n v="308986"/>
        <n v="308989"/>
        <n v="308991"/>
        <n v="308994"/>
        <n v="308998"/>
        <n v="309000"/>
        <n v="309002"/>
        <n v="309004"/>
        <n v="309005"/>
        <n v="309008"/>
        <n v="309012"/>
        <n v="309013"/>
        <n v="309015"/>
        <n v="309018"/>
        <n v="309019"/>
        <n v="309020"/>
        <n v="309021"/>
        <n v="309023"/>
        <n v="309026"/>
        <n v="309031"/>
        <n v="309036"/>
        <n v="309041"/>
        <n v="309043"/>
        <n v="309048"/>
        <n v="309051"/>
        <n v="309053"/>
        <n v="309057"/>
        <n v="309062"/>
        <n v="309063"/>
        <n v="309065"/>
        <n v="309070"/>
        <n v="309071"/>
        <n v="309075"/>
        <n v="309078"/>
        <n v="309082"/>
        <n v="309086"/>
        <n v="309087"/>
        <n v="309089"/>
        <n v="309090"/>
        <n v="309091"/>
        <n v="309094"/>
        <n v="309095"/>
        <n v="309096"/>
        <n v="309100"/>
        <n v="309104"/>
        <n v="309107"/>
        <n v="309109"/>
        <n v="309110"/>
        <n v="309113"/>
        <n v="309114"/>
        <n v="309115"/>
        <n v="309117"/>
        <n v="309118"/>
        <n v="309120"/>
      </sharedItems>
    </cacheField>
    <cacheField name="date_reg" numFmtId="14">
      <sharedItems containsSemiMixedTypes="0" containsNonDate="0" containsDate="1" containsString="0" minDate="2022-01-03T00:00:00" maxDate="2023-04-26T00:00:00" count="402">
        <d v="2022-09-29T00:00:00"/>
        <d v="2022-10-10T00:00:00"/>
        <d v="2022-08-25T00:00:00"/>
        <d v="2022-05-12T00:00:00"/>
        <d v="2022-01-06T00:00:00"/>
        <d v="2022-02-18T00:00:00"/>
        <d v="2022-06-30T00:00:00"/>
        <d v="2022-05-01T00:00:00"/>
        <d v="2022-04-21T00:00:00"/>
        <d v="2022-02-19T00:00:00"/>
        <d v="2022-10-24T00:00:00"/>
        <d v="2022-04-24T00:00:00"/>
        <d v="2022-07-05T00:00:00"/>
        <d v="2022-08-18T00:00:00"/>
        <d v="2022-08-05T00:00:00"/>
        <d v="2022-01-30T00:00:00"/>
        <d v="2022-01-05T00:00:00"/>
        <d v="2022-10-05T00:00:00"/>
        <d v="2022-05-21T00:00:00"/>
        <d v="2022-07-25T00:00:00"/>
        <d v="2022-08-03T00:00:00"/>
        <d v="2022-06-02T00:00:00"/>
        <d v="2022-05-06T00:00:00"/>
        <d v="2022-06-29T00:00:00"/>
        <d v="2022-05-17T00:00:00"/>
        <d v="2022-08-16T00:00:00"/>
        <d v="2022-05-23T00:00:00"/>
        <d v="2022-09-20T00:00:00"/>
        <d v="2022-09-30T00:00:00"/>
        <d v="2022-08-14T00:00:00"/>
        <d v="2022-06-21T00:00:00"/>
        <d v="2022-02-26T00:00:00"/>
        <d v="2022-07-17T00:00:00"/>
        <d v="2022-06-17T00:00:00"/>
        <d v="2022-06-03T00:00:00"/>
        <d v="2022-06-19T00:00:00"/>
        <d v="2022-04-18T00:00:00"/>
        <d v="2022-05-29T00:00:00"/>
        <d v="2022-02-27T00:00:00"/>
        <d v="2022-07-20T00:00:00"/>
        <d v="2022-01-16T00:00:00"/>
        <d v="2022-02-24T00:00:00"/>
        <d v="2022-03-10T00:00:00"/>
        <d v="2022-08-28T00:00:00"/>
        <d v="2022-09-09T00:00:00"/>
        <d v="2022-10-14T00:00:00"/>
        <d v="2022-08-31T00:00:00"/>
        <d v="2022-07-08T00:00:00"/>
        <d v="2022-03-06T00:00:00"/>
        <d v="2022-07-04T00:00:00"/>
        <d v="2022-08-15T00:00:00"/>
        <d v="2022-01-17T00:00:00"/>
        <d v="2022-10-23T00:00:00"/>
        <d v="2022-10-09T00:00:00"/>
        <d v="2022-07-27T00:00:00"/>
        <d v="2022-01-18T00:00:00"/>
        <d v="2022-01-21T00:00:00"/>
        <d v="2022-02-04T00:00:00"/>
        <d v="2022-05-26T00:00:00"/>
        <d v="2022-03-03T00:00:00"/>
        <d v="2022-09-15T00:00:00"/>
        <d v="2022-07-07T00:00:00"/>
        <d v="2022-01-07T00:00:00"/>
        <d v="2022-02-11T00:00:00"/>
        <d v="2022-10-08T00:00:00"/>
        <d v="2022-02-14T00:00:00"/>
        <d v="2022-04-09T00:00:00"/>
        <d v="2022-07-14T00:00:00"/>
        <d v="2022-03-24T00:00:00"/>
        <d v="2022-04-16T00:00:00"/>
        <d v="2022-08-27T00:00:00"/>
        <d v="2022-09-28T00:00:00"/>
        <d v="2022-09-14T00:00:00"/>
        <d v="2022-03-19T00:00:00"/>
        <d v="2022-06-01T00:00:00"/>
        <d v="2022-09-22T00:00:00"/>
        <d v="2022-06-24T00:00:00"/>
        <d v="2022-07-01T00:00:00"/>
        <d v="2022-08-13T00:00:00"/>
        <d v="2022-06-14T00:00:00"/>
        <d v="2022-07-23T00:00:00"/>
        <d v="2022-06-06T00:00:00"/>
        <d v="2022-08-22T00:00:00"/>
        <d v="2022-04-12T00:00:00"/>
        <d v="2022-05-22T00:00:00"/>
        <d v="2022-03-07T00:00:00"/>
        <d v="2022-09-04T00:00:00"/>
        <d v="2022-10-11T00:00:00"/>
        <d v="2022-09-26T00:00:00"/>
        <d v="2022-01-09T00:00:00"/>
        <d v="2022-10-12T00:00:00"/>
        <d v="2022-08-11T00:00:00"/>
        <d v="2022-03-12T00:00:00"/>
        <d v="2022-02-25T00:00:00"/>
        <d v="2022-07-28T00:00:00"/>
        <d v="2022-07-02T00:00:00"/>
        <d v="2022-04-02T00:00:00"/>
        <d v="2022-03-15T00:00:00"/>
        <d v="2022-03-18T00:00:00"/>
        <d v="2022-06-12T00:00:00"/>
        <d v="2022-02-20T00:00:00"/>
        <d v="2022-10-30T00:00:00"/>
        <d v="2022-03-14T00:00:00"/>
        <d v="2022-03-26T00:00:00"/>
        <d v="2022-08-08T00:00:00"/>
        <d v="2022-05-03T00:00:00"/>
        <d v="2022-04-27T00:00:00"/>
        <d v="2022-04-06T00:00:00"/>
        <d v="2022-10-07T00:00:00"/>
        <d v="2022-05-08T00:00:00"/>
        <d v="2022-05-07T00:00:00"/>
        <d v="2022-08-04T00:00:00"/>
        <d v="2022-07-24T00:00:00"/>
        <d v="2022-02-12T00:00:00"/>
        <d v="2022-08-12T00:00:00"/>
        <d v="2022-03-16T00:00:00"/>
        <d v="2022-10-21T00:00:00"/>
        <d v="2022-09-01T00:00:00"/>
        <d v="2022-01-14T00:00:00"/>
        <d v="2022-05-13T00:00:00"/>
        <d v="2022-03-28T00:00:00"/>
        <d v="2022-02-03T00:00:00"/>
        <d v="2022-06-27T00:00:00"/>
        <d v="2022-10-17T00:00:00"/>
        <d v="2022-07-09T00:00:00"/>
        <d v="2022-06-09T00:00:00"/>
        <d v="2022-04-08T00:00:00"/>
        <d v="2022-01-26T00:00:00"/>
        <d v="2022-04-28T00:00:00"/>
        <d v="2022-01-24T00:00:00"/>
        <d v="2022-04-22T00:00:00"/>
        <d v="2022-09-24T00:00:00"/>
        <d v="2022-03-17T00:00:00"/>
        <d v="2022-09-17T00:00:00"/>
        <d v="2022-09-02T00:00:00"/>
        <d v="2022-01-25T00:00:00"/>
        <d v="2022-05-18T00:00:00"/>
        <d v="2022-08-29T00:00:00"/>
        <d v="2022-01-27T00:00:00"/>
        <d v="2022-02-28T00:00:00"/>
        <d v="2022-05-31T00:00:00"/>
        <d v="2022-10-13T00:00:00"/>
        <d v="2022-10-27T00:00:00"/>
        <d v="2022-09-08T00:00:00"/>
        <d v="2022-08-09T00:00:00"/>
        <d v="2022-06-05T00:00:00"/>
        <d v="2022-02-09T00:00:00"/>
        <d v="2022-01-13T00:00:00"/>
        <d v="2022-04-29T00:00:00"/>
        <d v="2022-06-11T00:00:00"/>
        <d v="2022-07-26T00:00:00"/>
        <d v="2022-07-12T00:00:00"/>
        <d v="2022-06-26T00:00:00"/>
        <d v="2022-03-22T00:00:00"/>
        <d v="2022-09-06T00:00:00"/>
        <d v="2022-01-12T00:00:00"/>
        <d v="2022-03-27T00:00:00"/>
        <d v="2022-07-15T00:00:00"/>
        <d v="2022-09-05T00:00:00"/>
        <d v="2022-01-31T00:00:00"/>
        <d v="2022-07-18T00:00:00"/>
        <d v="2022-06-08T00:00:00"/>
        <d v="2022-08-10T00:00:00"/>
        <d v="2022-05-02T00:00:00"/>
        <d v="2022-03-11T00:00:00"/>
        <d v="2022-07-22T00:00:00"/>
        <d v="2022-08-26T00:00:00"/>
        <d v="2022-02-02T00:00:00"/>
        <d v="2022-07-31T00:00:00"/>
        <d v="2022-07-03T00:00:00"/>
        <d v="2022-01-03T00:00:00"/>
        <d v="2022-10-25T00:00:00"/>
        <d v="2022-02-22T00:00:00"/>
        <d v="2022-04-30T00:00:00"/>
        <d v="2022-10-04T00:00:00"/>
        <d v="2022-06-28T00:00:00"/>
        <d v="2022-09-16T00:00:00"/>
        <d v="2022-10-16T00:00:00"/>
        <d v="2022-01-28T00:00:00"/>
        <d v="2022-02-01T00:00:00"/>
        <d v="2022-10-22T00:00:00"/>
        <d v="2022-08-30T00:00:00"/>
        <d v="2022-06-18T00:00:00"/>
        <d v="2022-04-13T00:00:00"/>
        <d v="2022-06-10T00:00:00"/>
        <d v="2022-02-15T00:00:00"/>
        <d v="2022-09-21T00:00:00"/>
        <d v="2022-07-16T00:00:00"/>
        <d v="2022-09-23T00:00:00"/>
        <d v="2022-09-19T00:00:00"/>
        <d v="2022-03-02T00:00:00"/>
        <d v="2022-07-13T00:00:00"/>
        <d v="2022-07-06T00:00:00"/>
        <d v="2022-03-09T00:00:00"/>
        <d v="2022-08-21T00:00:00"/>
        <d v="2022-03-13T00:00:00"/>
        <d v="2022-04-20T00:00:00"/>
        <d v="2022-05-15T00:00:00"/>
        <d v="2022-02-13T00:00:00"/>
        <d v="2022-02-21T00:00:00"/>
        <d v="2022-06-04T00:00:00"/>
        <d v="2022-01-11T00:00:00"/>
        <d v="2022-02-23T00:00:00"/>
        <d v="2022-05-19T00:00:00"/>
        <d v="2022-04-07T00:00:00"/>
        <d v="2022-09-13T00:00:00"/>
        <d v="2022-03-21T00:00:00"/>
        <d v="2022-04-05T00:00:00"/>
        <d v="2022-03-30T00:00:00"/>
        <d v="2022-10-28T00:00:00"/>
        <d v="2022-08-07T00:00:00"/>
        <d v="2022-01-04T00:00:00"/>
        <d v="2022-04-11T00:00:00"/>
        <d v="2022-06-20T00:00:00"/>
        <d v="2022-02-06T00:00:00"/>
        <d v="2022-07-29T00:00:00"/>
        <d v="2022-04-15T00:00:00"/>
        <d v="2022-01-15T00:00:00"/>
        <d v="2022-10-19T00:00:00"/>
        <d v="2022-03-23T00:00:00"/>
        <d v="2022-09-11T00:00:00"/>
        <d v="2022-10-18T00:00:00"/>
        <d v="2022-07-11T00:00:00"/>
        <d v="2022-02-07T00:00:00"/>
        <d v="2022-03-01T00:00:00"/>
        <d v="2022-08-06T00:00:00"/>
        <d v="2022-10-29T00:00:00"/>
        <d v="2022-02-10T00:00:00"/>
        <d v="2022-04-14T00:00:00"/>
        <d v="2022-03-04T00:00:00"/>
        <d v="2022-05-24T00:00:00"/>
        <d v="2022-05-16T00:00:00"/>
        <d v="2022-05-30T00:00:00"/>
        <d v="2022-07-10T00:00:00"/>
        <d v="2022-01-08T00:00:00"/>
        <d v="2022-08-02T00:00:00"/>
        <d v="2022-10-20T00:00:00"/>
        <d v="2022-06-25T00:00:00"/>
        <d v="2022-05-28T00:00:00"/>
        <d v="2022-07-19T00:00:00"/>
        <d v="2022-08-17T00:00:00"/>
        <d v="2022-02-08T00:00:00"/>
        <d v="2022-01-20T00:00:00"/>
        <d v="2022-01-23T00:00:00"/>
        <d v="2022-09-18T00:00:00"/>
        <d v="2022-10-01T00:00:00"/>
        <d v="2022-01-19T00:00:00"/>
        <d v="2022-09-27T00:00:00"/>
        <d v="2022-08-20T00:00:00"/>
        <d v="2022-03-08T00:00:00"/>
        <d v="2022-08-23T00:00:00"/>
        <d v="2022-06-23T00:00:00"/>
        <d v="2022-04-26T00:00:00"/>
        <d v="2022-07-30T00:00:00"/>
        <d v="2022-10-03T00:00:00"/>
        <d v="2022-10-15T00:00:00"/>
        <d v="2022-03-25T00:00:00"/>
        <d v="2022-05-25T00:00:00"/>
        <d v="2022-06-13T00:00:00"/>
        <d v="2022-01-10T00:00:00"/>
        <d v="2022-03-20T00:00:00"/>
        <d v="2022-04-03T00:00:00"/>
        <d v="2022-04-01T00:00:00"/>
        <d v="2022-06-16T00:00:00"/>
        <d v="2022-09-12T00:00:00"/>
        <d v="2022-05-14T00:00:00"/>
        <d v="2022-05-05T00:00:00"/>
        <d v="2022-06-22T00:00:00"/>
        <d v="2022-10-06T00:00:00"/>
        <d v="2022-11-10T00:00:00"/>
        <d v="2022-11-24T00:00:00"/>
        <d v="2022-02-05T00:00:00"/>
        <d v="2022-11-05T00:00:00"/>
        <d v="2022-07-21T00:00:00"/>
        <d v="2022-04-10T00:00:00"/>
        <d v="2022-11-14T00:00:00"/>
        <d v="2022-02-17T00:00:00"/>
        <d v="2022-11-09T00:00:00"/>
        <d v="2022-02-16T00:00:00"/>
        <d v="2022-09-25T00:00:00"/>
        <d v="2022-05-09T00:00:00"/>
        <d v="2022-04-19T00:00:00"/>
        <d v="2022-08-01T00:00:00"/>
        <d v="2022-11-11T00:00:00"/>
        <d v="2022-10-26T00:00:00"/>
        <d v="2022-11-30T00:00:00"/>
        <d v="2022-11-23T00:00:00"/>
        <d v="2022-11-07T00:00:00"/>
        <d v="2022-06-07T00:00:00"/>
        <d v="2022-11-17T00:00:00"/>
        <d v="2022-04-17T00:00:00"/>
        <d v="2022-10-02T00:00:00"/>
        <d v="2022-11-27T00:00:00"/>
        <d v="2022-11-25T00:00:00"/>
        <d v="2022-11-22T00:00:00"/>
        <d v="2022-06-15T00:00:00"/>
        <d v="2022-05-27T00:00:00"/>
        <d v="2022-11-28T00:00:00"/>
        <d v="2022-09-07T00:00:00"/>
        <d v="2022-05-11T00:00:00"/>
        <d v="2022-04-23T00:00:00"/>
        <d v="2022-11-29T00:00:00"/>
        <d v="2022-11-04T00:00:00"/>
        <d v="2022-04-04T00:00:00"/>
        <d v="2022-11-20T00:00:00"/>
        <d v="2022-08-19T00:00:00"/>
        <d v="2022-11-21T00:00:00"/>
        <d v="2022-09-10T00:00:00"/>
        <d v="2022-11-13T00:00:00"/>
        <d v="2022-09-03T00:00:00"/>
        <d v="2022-05-20T00:00:00"/>
        <d v="2022-11-01T00:00:00"/>
        <d v="2022-11-16T00:00:00"/>
        <d v="2022-11-18T00:00:00"/>
        <d v="2022-11-03T00:00:00"/>
        <d v="2022-11-15T00:00:00"/>
        <d v="2022-04-25T00:00:00"/>
        <d v="2022-11-08T00:00:00"/>
        <d v="2022-11-06T00:00:00"/>
        <d v="2022-12-10T00:00:00"/>
        <d v="2022-12-24T00:00:00"/>
        <d v="2022-03-05T00:00:00"/>
        <d v="2022-05-10T00:00:00"/>
        <d v="2022-12-14T00:00:00"/>
        <d v="2022-08-24T00:00:00"/>
        <d v="2022-12-11T00:00:00"/>
        <d v="2022-12-30T00:00:00"/>
        <d v="2022-12-23T00:00:00"/>
        <d v="2022-12-07T00:00:00"/>
        <d v="2022-12-17T00:00:00"/>
        <d v="2022-12-09T00:00:00"/>
        <d v="2022-12-05T00:00:00"/>
        <d v="2022-11-02T00:00:00"/>
        <d v="2022-12-25T00:00:00"/>
        <d v="2022-12-27T00:00:00"/>
        <d v="2022-11-19T00:00:00"/>
        <d v="2022-11-26T00:00:00"/>
        <d v="2022-12-28T00:00:00"/>
        <d v="2022-12-29T00:00:00"/>
        <d v="2022-12-04T00:00:00"/>
        <d v="2022-05-04T00:00:00"/>
        <d v="2022-12-20T00:00:00"/>
        <d v="2022-12-21T00:00:00"/>
        <d v="2022-12-13T00:00:00"/>
        <d v="2022-12-16T00:00:00"/>
        <d v="2022-12-15T00:00:00"/>
        <d v="2022-12-08T00:00:00"/>
        <d v="2022-12-06T00:00:00"/>
        <d v="2023-01-10T00:00:00"/>
        <d v="2023-01-24T00:00:00"/>
        <d v="2022-12-01T00:00:00"/>
        <d v="2023-01-14T00:00:00"/>
        <d v="2023-01-11T00:00:00"/>
        <d v="2023-01-30T00:00:00"/>
        <d v="2023-01-07T00:00:00"/>
        <d v="2023-01-17T00:00:00"/>
        <d v="2023-01-09T00:00:00"/>
        <d v="2023-01-05T00:00:00"/>
        <d v="2022-12-19T00:00:00"/>
        <d v="2022-12-26T00:00:00"/>
        <d v="2023-01-29T00:00:00"/>
        <d v="2023-01-04T00:00:00"/>
        <d v="2023-01-20T00:00:00"/>
        <d v="2023-01-21T00:00:00"/>
        <d v="2023-01-15T00:00:00"/>
        <d v="2023-01-25T00:00:00"/>
        <d v="2023-01-06T00:00:00"/>
        <d v="2023-02-10T00:00:00"/>
        <d v="2023-02-24T00:00:00"/>
        <d v="2023-01-01T00:00:00"/>
        <d v="2023-02-14T00:00:00"/>
        <d v="2022-12-22T00:00:00"/>
        <d v="2023-02-11T00:00:00"/>
        <d v="2023-02-09T00:00:00"/>
        <d v="2023-02-07T00:00:00"/>
        <d v="2022-11-12T00:00:00"/>
        <d v="2023-01-19T00:00:00"/>
        <d v="2023-01-26T00:00:00"/>
        <d v="2023-02-04T00:00:00"/>
        <d v="2023-02-20T00:00:00"/>
        <d v="2023-02-21T00:00:00"/>
        <d v="2023-01-08T00:00:00"/>
        <d v="2023-02-05T00:00:00"/>
        <d v="2023-02-15T00:00:00"/>
        <d v="2023-02-25T00:00:00"/>
        <d v="2023-02-06T00:00:00"/>
        <d v="2023-03-10T00:00:00"/>
        <d v="2023-01-28T00:00:00"/>
        <d v="2023-02-01T00:00:00"/>
        <d v="2023-01-22T00:00:00"/>
        <d v="2023-01-16T00:00:00"/>
        <d v="2023-01-13T00:00:00"/>
        <d v="2023-03-04T00:00:00"/>
        <d v="2023-03-20T00:00:00"/>
        <d v="2023-03-05T00:00:00"/>
        <d v="2023-02-19T00:00:00"/>
        <d v="2023-03-25T00:00:00"/>
        <d v="2023-02-22T00:00:00"/>
        <d v="2022-12-12T00:00:00"/>
        <d v="2023-03-09T00:00:00"/>
        <d v="2023-04-05T00:00:00"/>
        <d v="2023-04-25T00:00:00"/>
      </sharedItems>
      <fieldGroup par="4"/>
    </cacheField>
    <cacheField name="Месяцы (date_reg)" numFmtId="0" databaseField="0">
      <fieldGroup base="1">
        <rangePr groupBy="months" startDate="2022-01-03T00:00:00" endDate="2023-04-26T00:00:00"/>
        <groupItems count="14">
          <s v="&lt;03.01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6.04.2023"/>
        </groupItems>
      </fieldGroup>
    </cacheField>
    <cacheField name="Кварталы (date_reg)" numFmtId="0" databaseField="0">
      <fieldGroup base="1">
        <rangePr groupBy="quarters" startDate="2022-01-03T00:00:00" endDate="2023-04-26T00:00:00"/>
        <groupItems count="6">
          <s v="&lt;03.01.2022"/>
          <s v="Кв-л1"/>
          <s v="Кв-л2"/>
          <s v="Кв-л3"/>
          <s v="Кв-л4"/>
          <s v="&gt;26.04.2023"/>
        </groupItems>
      </fieldGroup>
    </cacheField>
    <cacheField name="Годы (date_reg)" numFmtId="0" databaseField="0">
      <fieldGroup base="1">
        <rangePr groupBy="years" startDate="2022-01-03T00:00:00" endDate="2023-04-26T00:00:00"/>
        <groupItems count="4">
          <s v="&lt;03.01.2022"/>
          <s v="2022"/>
          <s v="2023"/>
          <s v="&gt;26.04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й Горбатюк" refreshedDate="45879.737606828705" createdVersion="8" refreshedVersion="8" minRefreshableVersion="3" recordCount="713" xr:uid="{3671939F-EB8E-415D-B6C3-C7C5999F2C99}">
  <cacheSource type="worksheet">
    <worksheetSource ref="H1:J714" sheet="Цепной"/>
  </cacheSource>
  <cacheFields count="5">
    <cacheField name="id_client" numFmtId="0">
      <sharedItems containsSemiMixedTypes="0" containsString="0" containsNumber="1" containsInteger="1" minValue="307001" maxValue="309120"/>
    </cacheField>
    <cacheField name="min_date" numFmtId="14">
      <sharedItems containsSemiMixedTypes="0" containsNonDate="0" containsDate="1" containsString="0" minDate="2022-01-03T00:00:00" maxDate="2022-10-31T00:00:00" count="269">
        <d v="2022-09-29T00:00:00"/>
        <d v="2022-10-10T00:00:00"/>
        <d v="2022-08-25T00:00:00"/>
        <d v="2022-05-12T00:00:00"/>
        <d v="2022-01-06T00:00:00"/>
        <d v="2022-02-18T00:00:00"/>
        <d v="2022-06-30T00:00:00"/>
        <d v="2022-05-01T00:00:00"/>
        <d v="2022-04-21T00:00:00"/>
        <d v="2022-02-19T00:00:00"/>
        <d v="2022-10-24T00:00:00"/>
        <d v="2022-04-24T00:00:00"/>
        <d v="2022-07-05T00:00:00"/>
        <d v="2022-08-18T00:00:00"/>
        <d v="2022-08-05T00:00:00"/>
        <d v="2022-01-30T00:00:00"/>
        <d v="2022-01-05T00:00:00"/>
        <d v="2022-10-05T00:00:00"/>
        <d v="2022-05-21T00:00:00"/>
        <d v="2022-07-25T00:00:00"/>
        <d v="2022-08-03T00:00:00"/>
        <d v="2022-06-02T00:00:00"/>
        <d v="2022-05-06T00:00:00"/>
        <d v="2022-06-29T00:00:00"/>
        <d v="2022-05-17T00:00:00"/>
        <d v="2022-08-16T00:00:00"/>
        <d v="2022-05-23T00:00:00"/>
        <d v="2022-09-20T00:00:00"/>
        <d v="2022-09-30T00:00:00"/>
        <d v="2022-08-14T00:00:00"/>
        <d v="2022-06-21T00:00:00"/>
        <d v="2022-02-26T00:00:00"/>
        <d v="2022-07-17T00:00:00"/>
        <d v="2022-06-17T00:00:00"/>
        <d v="2022-06-03T00:00:00"/>
        <d v="2022-06-19T00:00:00"/>
        <d v="2022-04-18T00:00:00"/>
        <d v="2022-05-29T00:00:00"/>
        <d v="2022-02-27T00:00:00"/>
        <d v="2022-07-20T00:00:00"/>
        <d v="2022-01-16T00:00:00"/>
        <d v="2022-02-24T00:00:00"/>
        <d v="2022-03-10T00:00:00"/>
        <d v="2022-08-28T00:00:00"/>
        <d v="2022-09-09T00:00:00"/>
        <d v="2022-10-14T00:00:00"/>
        <d v="2022-08-31T00:00:00"/>
        <d v="2022-07-08T00:00:00"/>
        <d v="2022-03-06T00:00:00"/>
        <d v="2022-07-04T00:00:00"/>
        <d v="2022-08-15T00:00:00"/>
        <d v="2022-01-17T00:00:00"/>
        <d v="2022-10-23T00:00:00"/>
        <d v="2022-10-09T00:00:00"/>
        <d v="2022-07-27T00:00:00"/>
        <d v="2022-01-18T00:00:00"/>
        <d v="2022-01-21T00:00:00"/>
        <d v="2022-02-04T00:00:00"/>
        <d v="2022-05-26T00:00:00"/>
        <d v="2022-03-03T00:00:00"/>
        <d v="2022-09-15T00:00:00"/>
        <d v="2022-07-07T00:00:00"/>
        <d v="2022-01-07T00:00:00"/>
        <d v="2022-02-11T00:00:00"/>
        <d v="2022-10-08T00:00:00"/>
        <d v="2022-02-14T00:00:00"/>
        <d v="2022-04-09T00:00:00"/>
        <d v="2022-07-14T00:00:00"/>
        <d v="2022-03-24T00:00:00"/>
        <d v="2022-04-16T00:00:00"/>
        <d v="2022-08-27T00:00:00"/>
        <d v="2022-09-28T00:00:00"/>
        <d v="2022-09-14T00:00:00"/>
        <d v="2022-03-19T00:00:00"/>
        <d v="2022-06-01T00:00:00"/>
        <d v="2022-09-22T00:00:00"/>
        <d v="2022-06-24T00:00:00"/>
        <d v="2022-07-01T00:00:00"/>
        <d v="2022-08-13T00:00:00"/>
        <d v="2022-06-14T00:00:00"/>
        <d v="2022-07-23T00:00:00"/>
        <d v="2022-06-06T00:00:00"/>
        <d v="2022-08-22T00:00:00"/>
        <d v="2022-04-12T00:00:00"/>
        <d v="2022-05-22T00:00:00"/>
        <d v="2022-03-07T00:00:00"/>
        <d v="2022-09-04T00:00:00"/>
        <d v="2022-10-11T00:00:00"/>
        <d v="2022-09-26T00:00:00"/>
        <d v="2022-01-09T00:00:00"/>
        <d v="2022-10-12T00:00:00"/>
        <d v="2022-08-11T00:00:00"/>
        <d v="2022-03-12T00:00:00"/>
        <d v="2022-02-25T00:00:00"/>
        <d v="2022-07-28T00:00:00"/>
        <d v="2022-07-02T00:00:00"/>
        <d v="2022-04-02T00:00:00"/>
        <d v="2022-03-15T00:00:00"/>
        <d v="2022-03-18T00:00:00"/>
        <d v="2022-06-12T00:00:00"/>
        <d v="2022-02-20T00:00:00"/>
        <d v="2022-10-30T00:00:00"/>
        <d v="2022-03-14T00:00:00"/>
        <d v="2022-03-26T00:00:00"/>
        <d v="2022-08-08T00:00:00"/>
        <d v="2022-05-03T00:00:00"/>
        <d v="2022-04-27T00:00:00"/>
        <d v="2022-04-06T00:00:00"/>
        <d v="2022-10-07T00:00:00"/>
        <d v="2022-05-08T00:00:00"/>
        <d v="2022-05-07T00:00:00"/>
        <d v="2022-08-04T00:00:00"/>
        <d v="2022-07-24T00:00:00"/>
        <d v="2022-02-12T00:00:00"/>
        <d v="2022-08-12T00:00:00"/>
        <d v="2022-03-16T00:00:00"/>
        <d v="2022-10-21T00:00:00"/>
        <d v="2022-09-01T00:00:00"/>
        <d v="2022-01-14T00:00:00"/>
        <d v="2022-05-13T00:00:00"/>
        <d v="2022-03-28T00:00:00"/>
        <d v="2022-02-03T00:00:00"/>
        <d v="2022-06-27T00:00:00"/>
        <d v="2022-10-17T00:00:00"/>
        <d v="2022-07-09T00:00:00"/>
        <d v="2022-06-09T00:00:00"/>
        <d v="2022-04-08T00:00:00"/>
        <d v="2022-01-26T00:00:00"/>
        <d v="2022-04-28T00:00:00"/>
        <d v="2022-01-24T00:00:00"/>
        <d v="2022-04-22T00:00:00"/>
        <d v="2022-09-24T00:00:00"/>
        <d v="2022-03-17T00:00:00"/>
        <d v="2022-09-17T00:00:00"/>
        <d v="2022-09-02T00:00:00"/>
        <d v="2022-01-25T00:00:00"/>
        <d v="2022-05-18T00:00:00"/>
        <d v="2022-08-29T00:00:00"/>
        <d v="2022-01-27T00:00:00"/>
        <d v="2022-02-28T00:00:00"/>
        <d v="2022-05-31T00:00:00"/>
        <d v="2022-10-13T00:00:00"/>
        <d v="2022-10-27T00:00:00"/>
        <d v="2022-09-08T00:00:00"/>
        <d v="2022-08-09T00:00:00"/>
        <d v="2022-06-05T00:00:00"/>
        <d v="2022-02-09T00:00:00"/>
        <d v="2022-01-13T00:00:00"/>
        <d v="2022-04-29T00:00:00"/>
        <d v="2022-06-11T00:00:00"/>
        <d v="2022-07-26T00:00:00"/>
        <d v="2022-07-12T00:00:00"/>
        <d v="2022-06-26T00:00:00"/>
        <d v="2022-03-22T00:00:00"/>
        <d v="2022-09-06T00:00:00"/>
        <d v="2022-01-12T00:00:00"/>
        <d v="2022-03-27T00:00:00"/>
        <d v="2022-07-15T00:00:00"/>
        <d v="2022-09-05T00:00:00"/>
        <d v="2022-01-31T00:00:00"/>
        <d v="2022-07-18T00:00:00"/>
        <d v="2022-06-08T00:00:00"/>
        <d v="2022-08-10T00:00:00"/>
        <d v="2022-05-02T00:00:00"/>
        <d v="2022-03-11T00:00:00"/>
        <d v="2022-07-22T00:00:00"/>
        <d v="2022-08-26T00:00:00"/>
        <d v="2022-02-02T00:00:00"/>
        <d v="2022-07-31T00:00:00"/>
        <d v="2022-07-03T00:00:00"/>
        <d v="2022-01-03T00:00:00"/>
        <d v="2022-10-25T00:00:00"/>
        <d v="2022-02-22T00:00:00"/>
        <d v="2022-04-30T00:00:00"/>
        <d v="2022-10-04T00:00:00"/>
        <d v="2022-06-28T00:00:00"/>
        <d v="2022-09-16T00:00:00"/>
        <d v="2022-10-16T00:00:00"/>
        <d v="2022-01-28T00:00:00"/>
        <d v="2022-02-01T00:00:00"/>
        <d v="2022-10-22T00:00:00"/>
        <d v="2022-08-30T00:00:00"/>
        <d v="2022-06-18T00:00:00"/>
        <d v="2022-04-13T00:00:00"/>
        <d v="2022-06-10T00:00:00"/>
        <d v="2022-02-15T00:00:00"/>
        <d v="2022-09-21T00:00:00"/>
        <d v="2022-07-16T00:00:00"/>
        <d v="2022-09-23T00:00:00"/>
        <d v="2022-09-19T00:00:00"/>
        <d v="2022-03-02T00:00:00"/>
        <d v="2022-07-13T00:00:00"/>
        <d v="2022-07-06T00:00:00"/>
        <d v="2022-03-09T00:00:00"/>
        <d v="2022-08-21T00:00:00"/>
        <d v="2022-03-13T00:00:00"/>
        <d v="2022-04-20T00:00:00"/>
        <d v="2022-05-15T00:00:00"/>
        <d v="2022-02-13T00:00:00"/>
        <d v="2022-02-21T00:00:00"/>
        <d v="2022-06-04T00:00:00"/>
        <d v="2022-01-11T00:00:00"/>
        <d v="2022-02-23T00:00:00"/>
        <d v="2022-05-19T00:00:00"/>
        <d v="2022-04-07T00:00:00"/>
        <d v="2022-09-13T00:00:00"/>
        <d v="2022-03-21T00:00:00"/>
        <d v="2022-04-05T00:00:00"/>
        <d v="2022-03-30T00:00:00"/>
        <d v="2022-10-28T00:00:00"/>
        <d v="2022-08-07T00:00:00"/>
        <d v="2022-01-04T00:00:00"/>
        <d v="2022-04-11T00:00:00"/>
        <d v="2022-06-20T00:00:00"/>
        <d v="2022-02-06T00:00:00"/>
        <d v="2022-07-29T00:00:00"/>
        <d v="2022-04-15T00:00:00"/>
        <d v="2022-01-15T00:00:00"/>
        <d v="2022-10-19T00:00:00"/>
        <d v="2022-03-23T00:00:00"/>
        <d v="2022-09-11T00:00:00"/>
        <d v="2022-10-18T00:00:00"/>
        <d v="2022-07-11T00:00:00"/>
        <d v="2022-02-07T00:00:00"/>
        <d v="2022-03-01T00:00:00"/>
        <d v="2022-08-06T00:00:00"/>
        <d v="2022-10-29T00:00:00"/>
        <d v="2022-02-10T00:00:00"/>
        <d v="2022-04-14T00:00:00"/>
        <d v="2022-03-04T00:00:00"/>
        <d v="2022-05-24T00:00:00"/>
        <d v="2022-05-16T00:00:00"/>
        <d v="2022-05-30T00:00:00"/>
        <d v="2022-07-10T00:00:00"/>
        <d v="2022-01-08T00:00:00"/>
        <d v="2022-08-02T00:00:00"/>
        <d v="2022-10-20T00:00:00"/>
        <d v="2022-06-25T00:00:00"/>
        <d v="2022-05-28T00:00:00"/>
        <d v="2022-07-19T00:00:00"/>
        <d v="2022-08-17T00:00:00"/>
        <d v="2022-02-08T00:00:00"/>
        <d v="2022-01-20T00:00:00"/>
        <d v="2022-01-23T00:00:00"/>
        <d v="2022-09-18T00:00:00"/>
        <d v="2022-10-01T00:00:00"/>
        <d v="2022-01-19T00:00:00"/>
        <d v="2022-09-27T00:00:00"/>
        <d v="2022-08-20T00:00:00"/>
        <d v="2022-03-08T00:00:00"/>
        <d v="2022-08-23T00:00:00"/>
        <d v="2022-06-23T00:00:00"/>
        <d v="2022-04-26T00:00:00"/>
        <d v="2022-07-30T00:00:00"/>
        <d v="2022-10-03T00:00:00"/>
        <d v="2022-10-15T00:00:00"/>
        <d v="2022-03-25T00:00:00"/>
        <d v="2022-05-25T00:00:00"/>
        <d v="2022-06-13T00:00:00"/>
        <d v="2022-01-10T00:00:00"/>
        <d v="2022-03-20T00:00:00"/>
        <d v="2022-04-03T00:00:00"/>
        <d v="2022-04-01T00:00:00"/>
        <d v="2022-06-16T00:00:00"/>
        <d v="2022-09-12T00:00:00"/>
        <d v="2022-05-14T00:00:00"/>
        <d v="2022-05-05T00:00:00"/>
        <d v="2022-06-22T00:00:00"/>
        <d v="2022-10-06T00:00:00"/>
      </sharedItems>
      <fieldGroup par="4"/>
    </cacheField>
    <cacheField name="cnt_reg" numFmtId="0">
      <sharedItems containsSemiMixedTypes="0" containsString="0" containsNumber="1" containsInteger="1" minValue="1" maxValue="7"/>
    </cacheField>
    <cacheField name="Дни (min_date)" numFmtId="0" databaseField="0">
      <fieldGroup base="1">
        <rangePr groupBy="days" startDate="2022-01-03T00:00:00" endDate="2022-10-31T00:00:00"/>
        <groupItems count="368">
          <s v="&lt;03.01.2022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1.10.2022"/>
        </groupItems>
      </fieldGroup>
    </cacheField>
    <cacheField name="Месяцы (min_date)" numFmtId="0" databaseField="0">
      <fieldGroup base="1">
        <rangePr groupBy="months" startDate="2022-01-03T00:00:00" endDate="2022-10-31T00:00:00"/>
        <groupItems count="14">
          <s v="&lt;03.01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0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й Горбатюк" refreshedDate="45879.76611689815" createdVersion="8" refreshedVersion="8" minRefreshableVersion="3" recordCount="713" xr:uid="{4E0B422F-5D09-4175-8181-FBAC4F1343FE}">
  <cacheSource type="worksheet">
    <worksheetSource ref="E1:G714" sheet="Базовый"/>
  </cacheSource>
  <cacheFields count="5">
    <cacheField name="id_client" numFmtId="0">
      <sharedItems containsSemiMixedTypes="0" containsString="0" containsNumber="1" containsInteger="1" minValue="307001" maxValue="309120"/>
    </cacheField>
    <cacheField name="min_date" numFmtId="14">
      <sharedItems containsSemiMixedTypes="0" containsNonDate="0" containsDate="1" containsString="0" minDate="2022-01-03T00:00:00" maxDate="2022-10-31T00:00:00" count="269">
        <d v="2022-09-29T00:00:00"/>
        <d v="2022-10-10T00:00:00"/>
        <d v="2022-08-25T00:00:00"/>
        <d v="2022-05-12T00:00:00"/>
        <d v="2022-01-06T00:00:00"/>
        <d v="2022-02-18T00:00:00"/>
        <d v="2022-06-30T00:00:00"/>
        <d v="2022-05-01T00:00:00"/>
        <d v="2022-04-21T00:00:00"/>
        <d v="2022-02-19T00:00:00"/>
        <d v="2022-10-24T00:00:00"/>
        <d v="2022-04-24T00:00:00"/>
        <d v="2022-07-05T00:00:00"/>
        <d v="2022-08-18T00:00:00"/>
        <d v="2022-08-05T00:00:00"/>
        <d v="2022-01-30T00:00:00"/>
        <d v="2022-01-05T00:00:00"/>
        <d v="2022-10-05T00:00:00"/>
        <d v="2022-05-21T00:00:00"/>
        <d v="2022-07-25T00:00:00"/>
        <d v="2022-08-03T00:00:00"/>
        <d v="2022-06-02T00:00:00"/>
        <d v="2022-05-06T00:00:00"/>
        <d v="2022-06-29T00:00:00"/>
        <d v="2022-05-17T00:00:00"/>
        <d v="2022-08-16T00:00:00"/>
        <d v="2022-05-23T00:00:00"/>
        <d v="2022-09-20T00:00:00"/>
        <d v="2022-09-30T00:00:00"/>
        <d v="2022-08-14T00:00:00"/>
        <d v="2022-06-21T00:00:00"/>
        <d v="2022-02-26T00:00:00"/>
        <d v="2022-07-17T00:00:00"/>
        <d v="2022-06-17T00:00:00"/>
        <d v="2022-06-03T00:00:00"/>
        <d v="2022-06-19T00:00:00"/>
        <d v="2022-04-18T00:00:00"/>
        <d v="2022-05-29T00:00:00"/>
        <d v="2022-02-27T00:00:00"/>
        <d v="2022-07-20T00:00:00"/>
        <d v="2022-01-16T00:00:00"/>
        <d v="2022-02-24T00:00:00"/>
        <d v="2022-03-10T00:00:00"/>
        <d v="2022-08-28T00:00:00"/>
        <d v="2022-09-09T00:00:00"/>
        <d v="2022-10-14T00:00:00"/>
        <d v="2022-08-31T00:00:00"/>
        <d v="2022-07-08T00:00:00"/>
        <d v="2022-03-06T00:00:00"/>
        <d v="2022-07-04T00:00:00"/>
        <d v="2022-08-15T00:00:00"/>
        <d v="2022-01-17T00:00:00"/>
        <d v="2022-10-23T00:00:00"/>
        <d v="2022-10-09T00:00:00"/>
        <d v="2022-07-27T00:00:00"/>
        <d v="2022-01-18T00:00:00"/>
        <d v="2022-01-21T00:00:00"/>
        <d v="2022-02-04T00:00:00"/>
        <d v="2022-05-26T00:00:00"/>
        <d v="2022-03-03T00:00:00"/>
        <d v="2022-09-15T00:00:00"/>
        <d v="2022-07-07T00:00:00"/>
        <d v="2022-01-07T00:00:00"/>
        <d v="2022-02-11T00:00:00"/>
        <d v="2022-10-08T00:00:00"/>
        <d v="2022-02-14T00:00:00"/>
        <d v="2022-04-09T00:00:00"/>
        <d v="2022-07-14T00:00:00"/>
        <d v="2022-03-24T00:00:00"/>
        <d v="2022-04-16T00:00:00"/>
        <d v="2022-08-27T00:00:00"/>
        <d v="2022-09-28T00:00:00"/>
        <d v="2022-09-14T00:00:00"/>
        <d v="2022-03-19T00:00:00"/>
        <d v="2022-06-01T00:00:00"/>
        <d v="2022-09-22T00:00:00"/>
        <d v="2022-06-24T00:00:00"/>
        <d v="2022-07-01T00:00:00"/>
        <d v="2022-08-13T00:00:00"/>
        <d v="2022-06-14T00:00:00"/>
        <d v="2022-07-23T00:00:00"/>
        <d v="2022-06-06T00:00:00"/>
        <d v="2022-08-22T00:00:00"/>
        <d v="2022-04-12T00:00:00"/>
        <d v="2022-05-22T00:00:00"/>
        <d v="2022-03-07T00:00:00"/>
        <d v="2022-09-04T00:00:00"/>
        <d v="2022-10-11T00:00:00"/>
        <d v="2022-09-26T00:00:00"/>
        <d v="2022-01-09T00:00:00"/>
        <d v="2022-10-12T00:00:00"/>
        <d v="2022-08-11T00:00:00"/>
        <d v="2022-03-12T00:00:00"/>
        <d v="2022-02-25T00:00:00"/>
        <d v="2022-07-28T00:00:00"/>
        <d v="2022-07-02T00:00:00"/>
        <d v="2022-04-02T00:00:00"/>
        <d v="2022-03-15T00:00:00"/>
        <d v="2022-03-18T00:00:00"/>
        <d v="2022-06-12T00:00:00"/>
        <d v="2022-02-20T00:00:00"/>
        <d v="2022-10-30T00:00:00"/>
        <d v="2022-03-14T00:00:00"/>
        <d v="2022-03-26T00:00:00"/>
        <d v="2022-08-08T00:00:00"/>
        <d v="2022-05-03T00:00:00"/>
        <d v="2022-04-27T00:00:00"/>
        <d v="2022-04-06T00:00:00"/>
        <d v="2022-10-07T00:00:00"/>
        <d v="2022-05-08T00:00:00"/>
        <d v="2022-05-07T00:00:00"/>
        <d v="2022-08-04T00:00:00"/>
        <d v="2022-07-24T00:00:00"/>
        <d v="2022-02-12T00:00:00"/>
        <d v="2022-08-12T00:00:00"/>
        <d v="2022-03-16T00:00:00"/>
        <d v="2022-10-21T00:00:00"/>
        <d v="2022-09-01T00:00:00"/>
        <d v="2022-01-14T00:00:00"/>
        <d v="2022-05-13T00:00:00"/>
        <d v="2022-03-28T00:00:00"/>
        <d v="2022-02-03T00:00:00"/>
        <d v="2022-06-27T00:00:00"/>
        <d v="2022-10-17T00:00:00"/>
        <d v="2022-07-09T00:00:00"/>
        <d v="2022-06-09T00:00:00"/>
        <d v="2022-04-08T00:00:00"/>
        <d v="2022-01-26T00:00:00"/>
        <d v="2022-04-28T00:00:00"/>
        <d v="2022-01-24T00:00:00"/>
        <d v="2022-04-22T00:00:00"/>
        <d v="2022-09-24T00:00:00"/>
        <d v="2022-03-17T00:00:00"/>
        <d v="2022-09-17T00:00:00"/>
        <d v="2022-09-02T00:00:00"/>
        <d v="2022-01-25T00:00:00"/>
        <d v="2022-05-18T00:00:00"/>
        <d v="2022-08-29T00:00:00"/>
        <d v="2022-01-27T00:00:00"/>
        <d v="2022-02-28T00:00:00"/>
        <d v="2022-05-31T00:00:00"/>
        <d v="2022-10-13T00:00:00"/>
        <d v="2022-10-27T00:00:00"/>
        <d v="2022-09-08T00:00:00"/>
        <d v="2022-08-09T00:00:00"/>
        <d v="2022-06-05T00:00:00"/>
        <d v="2022-02-09T00:00:00"/>
        <d v="2022-01-13T00:00:00"/>
        <d v="2022-04-29T00:00:00"/>
        <d v="2022-06-11T00:00:00"/>
        <d v="2022-07-26T00:00:00"/>
        <d v="2022-07-12T00:00:00"/>
        <d v="2022-06-26T00:00:00"/>
        <d v="2022-03-22T00:00:00"/>
        <d v="2022-09-06T00:00:00"/>
        <d v="2022-01-12T00:00:00"/>
        <d v="2022-03-27T00:00:00"/>
        <d v="2022-07-15T00:00:00"/>
        <d v="2022-09-05T00:00:00"/>
        <d v="2022-01-31T00:00:00"/>
        <d v="2022-07-18T00:00:00"/>
        <d v="2022-06-08T00:00:00"/>
        <d v="2022-08-10T00:00:00"/>
        <d v="2022-05-02T00:00:00"/>
        <d v="2022-03-11T00:00:00"/>
        <d v="2022-07-22T00:00:00"/>
        <d v="2022-08-26T00:00:00"/>
        <d v="2022-02-02T00:00:00"/>
        <d v="2022-07-31T00:00:00"/>
        <d v="2022-07-03T00:00:00"/>
        <d v="2022-01-03T00:00:00"/>
        <d v="2022-10-25T00:00:00"/>
        <d v="2022-02-22T00:00:00"/>
        <d v="2022-04-30T00:00:00"/>
        <d v="2022-10-04T00:00:00"/>
        <d v="2022-06-28T00:00:00"/>
        <d v="2022-09-16T00:00:00"/>
        <d v="2022-10-16T00:00:00"/>
        <d v="2022-01-28T00:00:00"/>
        <d v="2022-02-01T00:00:00"/>
        <d v="2022-10-22T00:00:00"/>
        <d v="2022-08-30T00:00:00"/>
        <d v="2022-06-18T00:00:00"/>
        <d v="2022-04-13T00:00:00"/>
        <d v="2022-06-10T00:00:00"/>
        <d v="2022-02-15T00:00:00"/>
        <d v="2022-09-21T00:00:00"/>
        <d v="2022-07-16T00:00:00"/>
        <d v="2022-09-23T00:00:00"/>
        <d v="2022-09-19T00:00:00"/>
        <d v="2022-03-02T00:00:00"/>
        <d v="2022-07-13T00:00:00"/>
        <d v="2022-07-06T00:00:00"/>
        <d v="2022-03-09T00:00:00"/>
        <d v="2022-08-21T00:00:00"/>
        <d v="2022-03-13T00:00:00"/>
        <d v="2022-04-20T00:00:00"/>
        <d v="2022-05-15T00:00:00"/>
        <d v="2022-02-13T00:00:00"/>
        <d v="2022-02-21T00:00:00"/>
        <d v="2022-06-04T00:00:00"/>
        <d v="2022-01-11T00:00:00"/>
        <d v="2022-02-23T00:00:00"/>
        <d v="2022-05-19T00:00:00"/>
        <d v="2022-04-07T00:00:00"/>
        <d v="2022-09-13T00:00:00"/>
        <d v="2022-03-21T00:00:00"/>
        <d v="2022-04-05T00:00:00"/>
        <d v="2022-03-30T00:00:00"/>
        <d v="2022-10-28T00:00:00"/>
        <d v="2022-08-07T00:00:00"/>
        <d v="2022-01-04T00:00:00"/>
        <d v="2022-04-11T00:00:00"/>
        <d v="2022-06-20T00:00:00"/>
        <d v="2022-02-06T00:00:00"/>
        <d v="2022-07-29T00:00:00"/>
        <d v="2022-04-15T00:00:00"/>
        <d v="2022-01-15T00:00:00"/>
        <d v="2022-10-19T00:00:00"/>
        <d v="2022-03-23T00:00:00"/>
        <d v="2022-09-11T00:00:00"/>
        <d v="2022-10-18T00:00:00"/>
        <d v="2022-07-11T00:00:00"/>
        <d v="2022-02-07T00:00:00"/>
        <d v="2022-03-01T00:00:00"/>
        <d v="2022-08-06T00:00:00"/>
        <d v="2022-10-29T00:00:00"/>
        <d v="2022-02-10T00:00:00"/>
        <d v="2022-04-14T00:00:00"/>
        <d v="2022-03-04T00:00:00"/>
        <d v="2022-05-24T00:00:00"/>
        <d v="2022-05-16T00:00:00"/>
        <d v="2022-05-30T00:00:00"/>
        <d v="2022-07-10T00:00:00"/>
        <d v="2022-01-08T00:00:00"/>
        <d v="2022-08-02T00:00:00"/>
        <d v="2022-10-20T00:00:00"/>
        <d v="2022-06-25T00:00:00"/>
        <d v="2022-05-28T00:00:00"/>
        <d v="2022-07-19T00:00:00"/>
        <d v="2022-08-17T00:00:00"/>
        <d v="2022-02-08T00:00:00"/>
        <d v="2022-01-20T00:00:00"/>
        <d v="2022-01-23T00:00:00"/>
        <d v="2022-09-18T00:00:00"/>
        <d v="2022-10-01T00:00:00"/>
        <d v="2022-01-19T00:00:00"/>
        <d v="2022-09-27T00:00:00"/>
        <d v="2022-08-20T00:00:00"/>
        <d v="2022-03-08T00:00:00"/>
        <d v="2022-08-23T00:00:00"/>
        <d v="2022-06-23T00:00:00"/>
        <d v="2022-04-26T00:00:00"/>
        <d v="2022-07-30T00:00:00"/>
        <d v="2022-10-03T00:00:00"/>
        <d v="2022-10-15T00:00:00"/>
        <d v="2022-03-25T00:00:00"/>
        <d v="2022-05-25T00:00:00"/>
        <d v="2022-06-13T00:00:00"/>
        <d v="2022-01-10T00:00:00"/>
        <d v="2022-03-20T00:00:00"/>
        <d v="2022-04-03T00:00:00"/>
        <d v="2022-04-01T00:00:00"/>
        <d v="2022-06-16T00:00:00"/>
        <d v="2022-09-12T00:00:00"/>
        <d v="2022-05-14T00:00:00"/>
        <d v="2022-05-05T00:00:00"/>
        <d v="2022-06-22T00:00:00"/>
        <d v="2022-10-06T00:00:00"/>
      </sharedItems>
      <fieldGroup par="4"/>
    </cacheField>
    <cacheField name="cnt_reg" numFmtId="0">
      <sharedItems containsSemiMixedTypes="0" containsString="0" containsNumber="1" containsInteger="1" minValue="1" maxValue="7" count="7">
        <n v="5"/>
        <n v="6"/>
        <n v="1"/>
        <n v="4"/>
        <n v="3"/>
        <n v="2"/>
        <n v="7"/>
      </sharedItems>
    </cacheField>
    <cacheField name="Дни (min_date)" numFmtId="0" databaseField="0">
      <fieldGroup base="1">
        <rangePr groupBy="days" startDate="2022-01-03T00:00:00" endDate="2022-10-31T00:00:00"/>
        <groupItems count="368">
          <s v="&lt;03.01.2022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1.10.2022"/>
        </groupItems>
      </fieldGroup>
    </cacheField>
    <cacheField name="Месяцы (min_date)" numFmtId="0" databaseField="0">
      <fieldGroup base="1">
        <rangePr groupBy="months" startDate="2022-01-03T00:00:00" endDate="2022-10-31T00:00:00"/>
        <groupItems count="14">
          <s v="&lt;03.01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0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1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17"/>
  </r>
  <r>
    <x v="37"/>
    <x v="36"/>
  </r>
  <r>
    <x v="38"/>
    <x v="37"/>
  </r>
  <r>
    <x v="39"/>
    <x v="38"/>
  </r>
  <r>
    <x v="40"/>
    <x v="10"/>
  </r>
  <r>
    <x v="41"/>
    <x v="39"/>
  </r>
  <r>
    <x v="42"/>
    <x v="40"/>
  </r>
  <r>
    <x v="43"/>
    <x v="41"/>
  </r>
  <r>
    <x v="44"/>
    <x v="42"/>
  </r>
  <r>
    <x v="45"/>
    <x v="43"/>
  </r>
  <r>
    <x v="46"/>
    <x v="44"/>
  </r>
  <r>
    <x v="47"/>
    <x v="37"/>
  </r>
  <r>
    <x v="48"/>
    <x v="45"/>
  </r>
  <r>
    <x v="49"/>
    <x v="46"/>
  </r>
  <r>
    <x v="50"/>
    <x v="18"/>
  </r>
  <r>
    <x v="51"/>
    <x v="47"/>
  </r>
  <r>
    <x v="52"/>
    <x v="48"/>
  </r>
  <r>
    <x v="53"/>
    <x v="49"/>
  </r>
  <r>
    <x v="54"/>
    <x v="16"/>
  </r>
  <r>
    <x v="55"/>
    <x v="42"/>
  </r>
  <r>
    <x v="56"/>
    <x v="50"/>
  </r>
  <r>
    <x v="57"/>
    <x v="51"/>
  </r>
  <r>
    <x v="58"/>
    <x v="52"/>
  </r>
  <r>
    <x v="59"/>
    <x v="53"/>
  </r>
  <r>
    <x v="60"/>
    <x v="54"/>
  </r>
  <r>
    <x v="61"/>
    <x v="46"/>
  </r>
  <r>
    <x v="62"/>
    <x v="40"/>
  </r>
  <r>
    <x v="63"/>
    <x v="55"/>
  </r>
  <r>
    <x v="64"/>
    <x v="56"/>
  </r>
  <r>
    <x v="65"/>
    <x v="57"/>
  </r>
  <r>
    <x v="66"/>
    <x v="58"/>
  </r>
  <r>
    <x v="67"/>
    <x v="59"/>
  </r>
  <r>
    <x v="68"/>
    <x v="60"/>
  </r>
  <r>
    <x v="69"/>
    <x v="2"/>
  </r>
  <r>
    <x v="70"/>
    <x v="59"/>
  </r>
  <r>
    <x v="71"/>
    <x v="61"/>
  </r>
  <r>
    <x v="72"/>
    <x v="62"/>
  </r>
  <r>
    <x v="73"/>
    <x v="63"/>
  </r>
  <r>
    <x v="74"/>
    <x v="12"/>
  </r>
  <r>
    <x v="75"/>
    <x v="64"/>
  </r>
  <r>
    <x v="76"/>
    <x v="58"/>
  </r>
  <r>
    <x v="77"/>
    <x v="65"/>
  </r>
  <r>
    <x v="78"/>
    <x v="66"/>
  </r>
  <r>
    <x v="79"/>
    <x v="67"/>
  </r>
  <r>
    <x v="80"/>
    <x v="68"/>
  </r>
  <r>
    <x v="81"/>
    <x v="51"/>
  </r>
  <r>
    <x v="82"/>
    <x v="0"/>
  </r>
  <r>
    <x v="83"/>
    <x v="69"/>
  </r>
  <r>
    <x v="84"/>
    <x v="70"/>
  </r>
  <r>
    <x v="85"/>
    <x v="55"/>
  </r>
  <r>
    <x v="86"/>
    <x v="71"/>
  </r>
  <r>
    <x v="87"/>
    <x v="72"/>
  </r>
  <r>
    <x v="88"/>
    <x v="73"/>
  </r>
  <r>
    <x v="89"/>
    <x v="66"/>
  </r>
  <r>
    <x v="90"/>
    <x v="74"/>
  </r>
  <r>
    <x v="91"/>
    <x v="75"/>
  </r>
  <r>
    <x v="92"/>
    <x v="45"/>
  </r>
  <r>
    <x v="93"/>
    <x v="76"/>
  </r>
  <r>
    <x v="94"/>
    <x v="77"/>
  </r>
  <r>
    <x v="95"/>
    <x v="76"/>
  </r>
  <r>
    <x v="96"/>
    <x v="44"/>
  </r>
  <r>
    <x v="97"/>
    <x v="78"/>
  </r>
  <r>
    <x v="98"/>
    <x v="79"/>
  </r>
  <r>
    <x v="99"/>
    <x v="50"/>
  </r>
  <r>
    <x v="100"/>
    <x v="80"/>
  </r>
  <r>
    <x v="101"/>
    <x v="81"/>
  </r>
  <r>
    <x v="102"/>
    <x v="82"/>
  </r>
  <r>
    <x v="103"/>
    <x v="83"/>
  </r>
  <r>
    <x v="104"/>
    <x v="84"/>
  </r>
  <r>
    <x v="105"/>
    <x v="85"/>
  </r>
  <r>
    <x v="106"/>
    <x v="86"/>
  </r>
  <r>
    <x v="107"/>
    <x v="81"/>
  </r>
  <r>
    <x v="108"/>
    <x v="87"/>
  </r>
  <r>
    <x v="109"/>
    <x v="88"/>
  </r>
  <r>
    <x v="110"/>
    <x v="2"/>
  </r>
  <r>
    <x v="111"/>
    <x v="24"/>
  </r>
  <r>
    <x v="112"/>
    <x v="39"/>
  </r>
  <r>
    <x v="113"/>
    <x v="89"/>
  </r>
  <r>
    <x v="114"/>
    <x v="77"/>
  </r>
  <r>
    <x v="115"/>
    <x v="2"/>
  </r>
  <r>
    <x v="116"/>
    <x v="90"/>
  </r>
  <r>
    <x v="117"/>
    <x v="91"/>
  </r>
  <r>
    <x v="118"/>
    <x v="92"/>
  </r>
  <r>
    <x v="119"/>
    <x v="93"/>
  </r>
  <r>
    <x v="120"/>
    <x v="94"/>
  </r>
  <r>
    <x v="121"/>
    <x v="6"/>
  </r>
  <r>
    <x v="122"/>
    <x v="95"/>
  </r>
  <r>
    <x v="123"/>
    <x v="96"/>
  </r>
  <r>
    <x v="124"/>
    <x v="97"/>
  </r>
  <r>
    <x v="125"/>
    <x v="98"/>
  </r>
  <r>
    <x v="126"/>
    <x v="97"/>
  </r>
  <r>
    <x v="127"/>
    <x v="99"/>
  </r>
  <r>
    <x v="128"/>
    <x v="100"/>
  </r>
  <r>
    <x v="129"/>
    <x v="101"/>
  </r>
  <r>
    <x v="130"/>
    <x v="52"/>
  </r>
  <r>
    <x v="131"/>
    <x v="102"/>
  </r>
  <r>
    <x v="132"/>
    <x v="103"/>
  </r>
  <r>
    <x v="133"/>
    <x v="104"/>
  </r>
  <r>
    <x v="134"/>
    <x v="105"/>
  </r>
  <r>
    <x v="135"/>
    <x v="106"/>
  </r>
  <r>
    <x v="136"/>
    <x v="107"/>
  </r>
  <r>
    <x v="137"/>
    <x v="108"/>
  </r>
  <r>
    <x v="138"/>
    <x v="41"/>
  </r>
  <r>
    <x v="139"/>
    <x v="109"/>
  </r>
  <r>
    <x v="140"/>
    <x v="110"/>
  </r>
  <r>
    <x v="141"/>
    <x v="111"/>
  </r>
  <r>
    <x v="142"/>
    <x v="112"/>
  </r>
  <r>
    <x v="143"/>
    <x v="113"/>
  </r>
  <r>
    <x v="144"/>
    <x v="114"/>
  </r>
  <r>
    <x v="145"/>
    <x v="115"/>
  </r>
  <r>
    <x v="146"/>
    <x v="116"/>
  </r>
  <r>
    <x v="147"/>
    <x v="21"/>
  </r>
  <r>
    <x v="148"/>
    <x v="59"/>
  </r>
  <r>
    <x v="149"/>
    <x v="57"/>
  </r>
  <r>
    <x v="150"/>
    <x v="117"/>
  </r>
  <r>
    <x v="151"/>
    <x v="118"/>
  </r>
  <r>
    <x v="152"/>
    <x v="108"/>
  </r>
  <r>
    <x v="153"/>
    <x v="119"/>
  </r>
  <r>
    <x v="154"/>
    <x v="120"/>
  </r>
  <r>
    <x v="155"/>
    <x v="121"/>
  </r>
  <r>
    <x v="156"/>
    <x v="32"/>
  </r>
  <r>
    <x v="157"/>
    <x v="122"/>
  </r>
  <r>
    <x v="158"/>
    <x v="95"/>
  </r>
  <r>
    <x v="159"/>
    <x v="123"/>
  </r>
  <r>
    <x v="160"/>
    <x v="124"/>
  </r>
  <r>
    <x v="161"/>
    <x v="53"/>
  </r>
  <r>
    <x v="162"/>
    <x v="125"/>
  </r>
  <r>
    <x v="163"/>
    <x v="126"/>
  </r>
  <r>
    <x v="164"/>
    <x v="127"/>
  </r>
  <r>
    <x v="165"/>
    <x v="128"/>
  </r>
  <r>
    <x v="166"/>
    <x v="129"/>
  </r>
  <r>
    <x v="167"/>
    <x v="83"/>
  </r>
  <r>
    <x v="168"/>
    <x v="28"/>
  </r>
  <r>
    <x v="169"/>
    <x v="29"/>
  </r>
  <r>
    <x v="170"/>
    <x v="20"/>
  </r>
  <r>
    <x v="171"/>
    <x v="54"/>
  </r>
  <r>
    <x v="172"/>
    <x v="17"/>
  </r>
  <r>
    <x v="173"/>
    <x v="114"/>
  </r>
  <r>
    <x v="174"/>
    <x v="130"/>
  </r>
  <r>
    <x v="175"/>
    <x v="131"/>
  </r>
  <r>
    <x v="176"/>
    <x v="25"/>
  </r>
  <r>
    <x v="177"/>
    <x v="132"/>
  </r>
  <r>
    <x v="178"/>
    <x v="133"/>
  </r>
  <r>
    <x v="179"/>
    <x v="69"/>
  </r>
  <r>
    <x v="180"/>
    <x v="134"/>
  </r>
  <r>
    <x v="181"/>
    <x v="82"/>
  </r>
  <r>
    <x v="182"/>
    <x v="135"/>
  </r>
  <r>
    <x v="183"/>
    <x v="15"/>
  </r>
  <r>
    <x v="184"/>
    <x v="136"/>
  </r>
  <r>
    <x v="185"/>
    <x v="93"/>
  </r>
  <r>
    <x v="186"/>
    <x v="78"/>
  </r>
  <r>
    <x v="187"/>
    <x v="51"/>
  </r>
  <r>
    <x v="188"/>
    <x v="137"/>
  </r>
  <r>
    <x v="189"/>
    <x v="138"/>
  </r>
  <r>
    <x v="190"/>
    <x v="139"/>
  </r>
  <r>
    <x v="191"/>
    <x v="111"/>
  </r>
  <r>
    <x v="192"/>
    <x v="59"/>
  </r>
  <r>
    <x v="193"/>
    <x v="140"/>
  </r>
  <r>
    <x v="194"/>
    <x v="40"/>
  </r>
  <r>
    <x v="195"/>
    <x v="141"/>
  </r>
  <r>
    <x v="196"/>
    <x v="101"/>
  </r>
  <r>
    <x v="197"/>
    <x v="33"/>
  </r>
  <r>
    <x v="198"/>
    <x v="142"/>
  </r>
  <r>
    <x v="199"/>
    <x v="39"/>
  </r>
  <r>
    <x v="200"/>
    <x v="39"/>
  </r>
  <r>
    <x v="201"/>
    <x v="143"/>
  </r>
  <r>
    <x v="202"/>
    <x v="93"/>
  </r>
  <r>
    <x v="203"/>
    <x v="144"/>
  </r>
  <r>
    <x v="204"/>
    <x v="145"/>
  </r>
  <r>
    <x v="205"/>
    <x v="110"/>
  </r>
  <r>
    <x v="206"/>
    <x v="54"/>
  </r>
  <r>
    <x v="207"/>
    <x v="61"/>
  </r>
  <r>
    <x v="208"/>
    <x v="146"/>
  </r>
  <r>
    <x v="209"/>
    <x v="81"/>
  </r>
  <r>
    <x v="210"/>
    <x v="147"/>
  </r>
  <r>
    <x v="211"/>
    <x v="44"/>
  </r>
  <r>
    <x v="212"/>
    <x v="58"/>
  </r>
  <r>
    <x v="213"/>
    <x v="117"/>
  </r>
  <r>
    <x v="214"/>
    <x v="46"/>
  </r>
  <r>
    <x v="215"/>
    <x v="10"/>
  </r>
  <r>
    <x v="216"/>
    <x v="148"/>
  </r>
  <r>
    <x v="217"/>
    <x v="31"/>
  </r>
  <r>
    <x v="218"/>
    <x v="63"/>
  </r>
  <r>
    <x v="219"/>
    <x v="149"/>
  </r>
  <r>
    <x v="220"/>
    <x v="6"/>
  </r>
  <r>
    <x v="221"/>
    <x v="150"/>
  </r>
  <r>
    <x v="222"/>
    <x v="108"/>
  </r>
  <r>
    <x v="223"/>
    <x v="151"/>
  </r>
  <r>
    <x v="224"/>
    <x v="15"/>
  </r>
  <r>
    <x v="225"/>
    <x v="7"/>
  </r>
  <r>
    <x v="226"/>
    <x v="152"/>
  </r>
  <r>
    <x v="227"/>
    <x v="153"/>
  </r>
  <r>
    <x v="228"/>
    <x v="29"/>
  </r>
  <r>
    <x v="229"/>
    <x v="154"/>
  </r>
  <r>
    <x v="230"/>
    <x v="84"/>
  </r>
  <r>
    <x v="231"/>
    <x v="131"/>
  </r>
  <r>
    <x v="232"/>
    <x v="86"/>
  </r>
  <r>
    <x v="233"/>
    <x v="11"/>
  </r>
  <r>
    <x v="234"/>
    <x v="155"/>
  </r>
  <r>
    <x v="235"/>
    <x v="156"/>
  </r>
  <r>
    <x v="236"/>
    <x v="157"/>
  </r>
  <r>
    <x v="237"/>
    <x v="63"/>
  </r>
  <r>
    <x v="238"/>
    <x v="39"/>
  </r>
  <r>
    <x v="239"/>
    <x v="158"/>
  </r>
  <r>
    <x v="240"/>
    <x v="159"/>
  </r>
  <r>
    <x v="241"/>
    <x v="160"/>
  </r>
  <r>
    <x v="242"/>
    <x v="161"/>
  </r>
  <r>
    <x v="243"/>
    <x v="92"/>
  </r>
  <r>
    <x v="244"/>
    <x v="162"/>
  </r>
  <r>
    <x v="245"/>
    <x v="133"/>
  </r>
  <r>
    <x v="246"/>
    <x v="77"/>
  </r>
  <r>
    <x v="247"/>
    <x v="107"/>
  </r>
  <r>
    <x v="248"/>
    <x v="163"/>
  </r>
  <r>
    <x v="249"/>
    <x v="27"/>
  </r>
  <r>
    <x v="250"/>
    <x v="164"/>
  </r>
  <r>
    <x v="251"/>
    <x v="126"/>
  </r>
  <r>
    <x v="252"/>
    <x v="97"/>
  </r>
  <r>
    <x v="253"/>
    <x v="57"/>
  </r>
  <r>
    <x v="254"/>
    <x v="97"/>
  </r>
  <r>
    <x v="255"/>
    <x v="150"/>
  </r>
  <r>
    <x v="256"/>
    <x v="71"/>
  </r>
  <r>
    <x v="257"/>
    <x v="100"/>
  </r>
  <r>
    <x v="258"/>
    <x v="13"/>
  </r>
  <r>
    <x v="259"/>
    <x v="22"/>
  </r>
  <r>
    <x v="260"/>
    <x v="85"/>
  </r>
  <r>
    <x v="261"/>
    <x v="165"/>
  </r>
  <r>
    <x v="262"/>
    <x v="166"/>
  </r>
  <r>
    <x v="263"/>
    <x v="144"/>
  </r>
  <r>
    <x v="264"/>
    <x v="69"/>
  </r>
  <r>
    <x v="265"/>
    <x v="167"/>
  </r>
  <r>
    <x v="266"/>
    <x v="58"/>
  </r>
  <r>
    <x v="267"/>
    <x v="166"/>
  </r>
  <r>
    <x v="268"/>
    <x v="168"/>
  </r>
  <r>
    <x v="269"/>
    <x v="82"/>
  </r>
  <r>
    <x v="270"/>
    <x v="147"/>
  </r>
  <r>
    <x v="271"/>
    <x v="169"/>
  </r>
  <r>
    <x v="272"/>
    <x v="170"/>
  </r>
  <r>
    <x v="273"/>
    <x v="171"/>
  </r>
  <r>
    <x v="274"/>
    <x v="73"/>
  </r>
  <r>
    <x v="275"/>
    <x v="118"/>
  </r>
  <r>
    <x v="276"/>
    <x v="83"/>
  </r>
  <r>
    <x v="277"/>
    <x v="84"/>
  </r>
  <r>
    <x v="278"/>
    <x v="172"/>
  </r>
  <r>
    <x v="279"/>
    <x v="9"/>
  </r>
  <r>
    <x v="280"/>
    <x v="173"/>
  </r>
  <r>
    <x v="281"/>
    <x v="156"/>
  </r>
  <r>
    <x v="282"/>
    <x v="174"/>
  </r>
  <r>
    <x v="283"/>
    <x v="175"/>
  </r>
  <r>
    <x v="284"/>
    <x v="176"/>
  </r>
  <r>
    <x v="285"/>
    <x v="3"/>
  </r>
  <r>
    <x v="286"/>
    <x v="120"/>
  </r>
  <r>
    <x v="287"/>
    <x v="59"/>
  </r>
  <r>
    <x v="288"/>
    <x v="70"/>
  </r>
  <r>
    <x v="289"/>
    <x v="177"/>
  </r>
  <r>
    <x v="290"/>
    <x v="139"/>
  </r>
  <r>
    <x v="291"/>
    <x v="178"/>
  </r>
  <r>
    <x v="292"/>
    <x v="55"/>
  </r>
  <r>
    <x v="293"/>
    <x v="136"/>
  </r>
  <r>
    <x v="294"/>
    <x v="179"/>
  </r>
  <r>
    <x v="295"/>
    <x v="92"/>
  </r>
  <r>
    <x v="296"/>
    <x v="180"/>
  </r>
  <r>
    <x v="297"/>
    <x v="95"/>
  </r>
  <r>
    <x v="298"/>
    <x v="118"/>
  </r>
  <r>
    <x v="299"/>
    <x v="181"/>
  </r>
  <r>
    <x v="300"/>
    <x v="182"/>
  </r>
  <r>
    <x v="301"/>
    <x v="183"/>
  </r>
  <r>
    <x v="302"/>
    <x v="153"/>
  </r>
  <r>
    <x v="303"/>
    <x v="184"/>
  </r>
  <r>
    <x v="304"/>
    <x v="185"/>
  </r>
  <r>
    <x v="305"/>
    <x v="99"/>
  </r>
  <r>
    <x v="306"/>
    <x v="9"/>
  </r>
  <r>
    <x v="307"/>
    <x v="26"/>
  </r>
  <r>
    <x v="308"/>
    <x v="149"/>
  </r>
  <r>
    <x v="309"/>
    <x v="142"/>
  </r>
  <r>
    <x v="310"/>
    <x v="84"/>
  </r>
  <r>
    <x v="311"/>
    <x v="186"/>
  </r>
  <r>
    <x v="312"/>
    <x v="187"/>
  </r>
  <r>
    <x v="313"/>
    <x v="188"/>
  </r>
  <r>
    <x v="314"/>
    <x v="189"/>
  </r>
  <r>
    <x v="315"/>
    <x v="190"/>
  </r>
  <r>
    <x v="316"/>
    <x v="26"/>
  </r>
  <r>
    <x v="317"/>
    <x v="110"/>
  </r>
  <r>
    <x v="318"/>
    <x v="191"/>
  </r>
  <r>
    <x v="319"/>
    <x v="56"/>
  </r>
  <r>
    <x v="320"/>
    <x v="164"/>
  </r>
  <r>
    <x v="321"/>
    <x v="103"/>
  </r>
  <r>
    <x v="322"/>
    <x v="184"/>
  </r>
  <r>
    <x v="323"/>
    <x v="192"/>
  </r>
  <r>
    <x v="324"/>
    <x v="108"/>
  </r>
  <r>
    <x v="325"/>
    <x v="152"/>
  </r>
  <r>
    <x v="326"/>
    <x v="10"/>
  </r>
  <r>
    <x v="327"/>
    <x v="193"/>
  </r>
  <r>
    <x v="328"/>
    <x v="63"/>
  </r>
  <r>
    <x v="329"/>
    <x v="194"/>
  </r>
  <r>
    <x v="330"/>
    <x v="122"/>
  </r>
  <r>
    <x v="331"/>
    <x v="159"/>
  </r>
  <r>
    <x v="332"/>
    <x v="195"/>
  </r>
  <r>
    <x v="333"/>
    <x v="55"/>
  </r>
  <r>
    <x v="334"/>
    <x v="123"/>
  </r>
  <r>
    <x v="335"/>
    <x v="195"/>
  </r>
  <r>
    <x v="336"/>
    <x v="2"/>
  </r>
  <r>
    <x v="337"/>
    <x v="196"/>
  </r>
  <r>
    <x v="338"/>
    <x v="159"/>
  </r>
  <r>
    <x v="339"/>
    <x v="197"/>
  </r>
  <r>
    <x v="340"/>
    <x v="198"/>
  </r>
  <r>
    <x v="341"/>
    <x v="199"/>
  </r>
  <r>
    <x v="342"/>
    <x v="200"/>
  </r>
  <r>
    <x v="343"/>
    <x v="17"/>
  </r>
  <r>
    <x v="344"/>
    <x v="54"/>
  </r>
  <r>
    <x v="345"/>
    <x v="111"/>
  </r>
  <r>
    <x v="346"/>
    <x v="201"/>
  </r>
  <r>
    <x v="347"/>
    <x v="157"/>
  </r>
  <r>
    <x v="348"/>
    <x v="30"/>
  </r>
  <r>
    <x v="349"/>
    <x v="172"/>
  </r>
  <r>
    <x v="350"/>
    <x v="202"/>
  </r>
  <r>
    <x v="351"/>
    <x v="203"/>
  </r>
  <r>
    <x v="352"/>
    <x v="11"/>
  </r>
  <r>
    <x v="353"/>
    <x v="23"/>
  </r>
  <r>
    <x v="354"/>
    <x v="204"/>
  </r>
  <r>
    <x v="355"/>
    <x v="205"/>
  </r>
  <r>
    <x v="356"/>
    <x v="206"/>
  </r>
  <r>
    <x v="357"/>
    <x v="85"/>
  </r>
  <r>
    <x v="358"/>
    <x v="207"/>
  </r>
  <r>
    <x v="359"/>
    <x v="195"/>
  </r>
  <r>
    <x v="360"/>
    <x v="187"/>
  </r>
  <r>
    <x v="361"/>
    <x v="102"/>
  </r>
  <r>
    <x v="362"/>
    <x v="208"/>
  </r>
  <r>
    <x v="363"/>
    <x v="5"/>
  </r>
  <r>
    <x v="364"/>
    <x v="70"/>
  </r>
  <r>
    <x v="365"/>
    <x v="172"/>
  </r>
  <r>
    <x v="366"/>
    <x v="106"/>
  </r>
  <r>
    <x v="367"/>
    <x v="88"/>
  </r>
  <r>
    <x v="368"/>
    <x v="13"/>
  </r>
  <r>
    <x v="369"/>
    <x v="183"/>
  </r>
  <r>
    <x v="370"/>
    <x v="209"/>
  </r>
  <r>
    <x v="371"/>
    <x v="210"/>
  </r>
  <r>
    <x v="372"/>
    <x v="91"/>
  </r>
  <r>
    <x v="373"/>
    <x v="94"/>
  </r>
  <r>
    <x v="374"/>
    <x v="139"/>
  </r>
  <r>
    <x v="375"/>
    <x v="211"/>
  </r>
  <r>
    <x v="376"/>
    <x v="133"/>
  </r>
  <r>
    <x v="377"/>
    <x v="138"/>
  </r>
  <r>
    <x v="378"/>
    <x v="98"/>
  </r>
  <r>
    <x v="379"/>
    <x v="143"/>
  </r>
  <r>
    <x v="380"/>
    <x v="211"/>
  </r>
  <r>
    <x v="381"/>
    <x v="89"/>
  </r>
  <r>
    <x v="382"/>
    <x v="182"/>
  </r>
  <r>
    <x v="383"/>
    <x v="212"/>
  </r>
  <r>
    <x v="384"/>
    <x v="194"/>
  </r>
  <r>
    <x v="385"/>
    <x v="213"/>
  </r>
  <r>
    <x v="386"/>
    <x v="214"/>
  </r>
  <r>
    <x v="387"/>
    <x v="215"/>
  </r>
  <r>
    <x v="388"/>
    <x v="95"/>
  </r>
  <r>
    <x v="389"/>
    <x v="171"/>
  </r>
  <r>
    <x v="390"/>
    <x v="100"/>
  </r>
  <r>
    <x v="391"/>
    <x v="150"/>
  </r>
  <r>
    <x v="392"/>
    <x v="126"/>
  </r>
  <r>
    <x v="393"/>
    <x v="154"/>
  </r>
  <r>
    <x v="394"/>
    <x v="216"/>
  </r>
  <r>
    <x v="395"/>
    <x v="84"/>
  </r>
  <r>
    <x v="396"/>
    <x v="137"/>
  </r>
  <r>
    <x v="397"/>
    <x v="85"/>
  </r>
  <r>
    <x v="398"/>
    <x v="217"/>
  </r>
  <r>
    <x v="399"/>
    <x v="215"/>
  </r>
  <r>
    <x v="400"/>
    <x v="217"/>
  </r>
  <r>
    <x v="401"/>
    <x v="126"/>
  </r>
  <r>
    <x v="402"/>
    <x v="4"/>
  </r>
  <r>
    <x v="403"/>
    <x v="61"/>
  </r>
  <r>
    <x v="404"/>
    <x v="148"/>
  </r>
  <r>
    <x v="405"/>
    <x v="192"/>
  </r>
  <r>
    <x v="406"/>
    <x v="62"/>
  </r>
  <r>
    <x v="407"/>
    <x v="192"/>
  </r>
  <r>
    <x v="408"/>
    <x v="81"/>
  </r>
  <r>
    <x v="409"/>
    <x v="218"/>
  </r>
  <r>
    <x v="410"/>
    <x v="175"/>
  </r>
  <r>
    <x v="411"/>
    <x v="219"/>
  </r>
  <r>
    <x v="412"/>
    <x v="156"/>
  </r>
  <r>
    <x v="413"/>
    <x v="220"/>
  </r>
  <r>
    <x v="414"/>
    <x v="221"/>
  </r>
  <r>
    <x v="415"/>
    <x v="169"/>
  </r>
  <r>
    <x v="416"/>
    <x v="65"/>
  </r>
  <r>
    <x v="417"/>
    <x v="84"/>
  </r>
  <r>
    <x v="418"/>
    <x v="203"/>
  </r>
  <r>
    <x v="419"/>
    <x v="163"/>
  </r>
  <r>
    <x v="420"/>
    <x v="217"/>
  </r>
  <r>
    <x v="421"/>
    <x v="154"/>
  </r>
  <r>
    <x v="422"/>
    <x v="222"/>
  </r>
  <r>
    <x v="423"/>
    <x v="223"/>
  </r>
  <r>
    <x v="424"/>
    <x v="224"/>
  </r>
  <r>
    <x v="425"/>
    <x v="158"/>
  </r>
  <r>
    <x v="426"/>
    <x v="51"/>
  </r>
  <r>
    <x v="427"/>
    <x v="202"/>
  </r>
  <r>
    <x v="428"/>
    <x v="225"/>
  </r>
  <r>
    <x v="429"/>
    <x v="157"/>
  </r>
  <r>
    <x v="430"/>
    <x v="167"/>
  </r>
  <r>
    <x v="431"/>
    <x v="85"/>
  </r>
  <r>
    <x v="432"/>
    <x v="123"/>
  </r>
  <r>
    <x v="433"/>
    <x v="42"/>
  </r>
  <r>
    <x v="434"/>
    <x v="178"/>
  </r>
  <r>
    <x v="435"/>
    <x v="190"/>
  </r>
  <r>
    <x v="436"/>
    <x v="67"/>
  </r>
  <r>
    <x v="437"/>
    <x v="159"/>
  </r>
  <r>
    <x v="438"/>
    <x v="91"/>
  </r>
  <r>
    <x v="439"/>
    <x v="155"/>
  </r>
  <r>
    <x v="440"/>
    <x v="121"/>
  </r>
  <r>
    <x v="441"/>
    <x v="7"/>
  </r>
  <r>
    <x v="442"/>
    <x v="137"/>
  </r>
  <r>
    <x v="443"/>
    <x v="226"/>
  </r>
  <r>
    <x v="444"/>
    <x v="227"/>
  </r>
  <r>
    <x v="445"/>
    <x v="228"/>
  </r>
  <r>
    <x v="446"/>
    <x v="192"/>
  </r>
  <r>
    <x v="447"/>
    <x v="174"/>
  </r>
  <r>
    <x v="448"/>
    <x v="229"/>
  </r>
  <r>
    <x v="449"/>
    <x v="71"/>
  </r>
  <r>
    <x v="450"/>
    <x v="155"/>
  </r>
  <r>
    <x v="451"/>
    <x v="28"/>
  </r>
  <r>
    <x v="452"/>
    <x v="230"/>
  </r>
  <r>
    <x v="453"/>
    <x v="55"/>
  </r>
  <r>
    <x v="454"/>
    <x v="231"/>
  </r>
  <r>
    <x v="455"/>
    <x v="136"/>
  </r>
  <r>
    <x v="456"/>
    <x v="61"/>
  </r>
  <r>
    <x v="457"/>
    <x v="150"/>
  </r>
  <r>
    <x v="458"/>
    <x v="232"/>
  </r>
  <r>
    <x v="459"/>
    <x v="106"/>
  </r>
  <r>
    <x v="460"/>
    <x v="233"/>
  </r>
  <r>
    <x v="461"/>
    <x v="160"/>
  </r>
  <r>
    <x v="462"/>
    <x v="234"/>
  </r>
  <r>
    <x v="463"/>
    <x v="198"/>
  </r>
  <r>
    <x v="464"/>
    <x v="12"/>
  </r>
  <r>
    <x v="465"/>
    <x v="52"/>
  </r>
  <r>
    <x v="466"/>
    <x v="196"/>
  </r>
  <r>
    <x v="467"/>
    <x v="170"/>
  </r>
  <r>
    <x v="468"/>
    <x v="235"/>
  </r>
  <r>
    <x v="469"/>
    <x v="146"/>
  </r>
  <r>
    <x v="470"/>
    <x v="52"/>
  </r>
  <r>
    <x v="471"/>
    <x v="83"/>
  </r>
  <r>
    <x v="472"/>
    <x v="164"/>
  </r>
  <r>
    <x v="473"/>
    <x v="146"/>
  </r>
  <r>
    <x v="474"/>
    <x v="92"/>
  </r>
  <r>
    <x v="475"/>
    <x v="24"/>
  </r>
  <r>
    <x v="476"/>
    <x v="119"/>
  </r>
  <r>
    <x v="477"/>
    <x v="197"/>
  </r>
  <r>
    <x v="478"/>
    <x v="236"/>
  </r>
  <r>
    <x v="479"/>
    <x v="237"/>
  </r>
  <r>
    <x v="480"/>
    <x v="238"/>
  </r>
  <r>
    <x v="481"/>
    <x v="136"/>
  </r>
  <r>
    <x v="482"/>
    <x v="0"/>
  </r>
  <r>
    <x v="483"/>
    <x v="178"/>
  </r>
  <r>
    <x v="484"/>
    <x v="239"/>
  </r>
  <r>
    <x v="485"/>
    <x v="239"/>
  </r>
  <r>
    <x v="486"/>
    <x v="110"/>
  </r>
  <r>
    <x v="487"/>
    <x v="116"/>
  </r>
  <r>
    <x v="488"/>
    <x v="240"/>
  </r>
  <r>
    <x v="489"/>
    <x v="241"/>
  </r>
  <r>
    <x v="490"/>
    <x v="147"/>
  </r>
  <r>
    <x v="491"/>
    <x v="173"/>
  </r>
  <r>
    <x v="492"/>
    <x v="44"/>
  </r>
  <r>
    <x v="493"/>
    <x v="162"/>
  </r>
  <r>
    <x v="494"/>
    <x v="207"/>
  </r>
  <r>
    <x v="495"/>
    <x v="34"/>
  </r>
  <r>
    <x v="496"/>
    <x v="170"/>
  </r>
  <r>
    <x v="497"/>
    <x v="176"/>
  </r>
  <r>
    <x v="498"/>
    <x v="113"/>
  </r>
  <r>
    <x v="499"/>
    <x v="242"/>
  </r>
  <r>
    <x v="500"/>
    <x v="20"/>
  </r>
  <r>
    <x v="501"/>
    <x v="33"/>
  </r>
  <r>
    <x v="502"/>
    <x v="28"/>
  </r>
  <r>
    <x v="503"/>
    <x v="135"/>
  </r>
  <r>
    <x v="504"/>
    <x v="51"/>
  </r>
  <r>
    <x v="505"/>
    <x v="143"/>
  </r>
  <r>
    <x v="506"/>
    <x v="191"/>
  </r>
  <r>
    <x v="507"/>
    <x v="121"/>
  </r>
  <r>
    <x v="508"/>
    <x v="38"/>
  </r>
  <r>
    <x v="509"/>
    <x v="31"/>
  </r>
  <r>
    <x v="510"/>
    <x v="158"/>
  </r>
  <r>
    <x v="511"/>
    <x v="45"/>
  </r>
  <r>
    <x v="512"/>
    <x v="201"/>
  </r>
  <r>
    <x v="513"/>
    <x v="44"/>
  </r>
  <r>
    <x v="514"/>
    <x v="141"/>
  </r>
  <r>
    <x v="515"/>
    <x v="237"/>
  </r>
  <r>
    <x v="516"/>
    <x v="140"/>
  </r>
  <r>
    <x v="517"/>
    <x v="141"/>
  </r>
  <r>
    <x v="518"/>
    <x v="243"/>
  </r>
  <r>
    <x v="519"/>
    <x v="75"/>
  </r>
  <r>
    <x v="520"/>
    <x v="110"/>
  </r>
  <r>
    <x v="521"/>
    <x v="95"/>
  </r>
  <r>
    <x v="522"/>
    <x v="125"/>
  </r>
  <r>
    <x v="523"/>
    <x v="227"/>
  </r>
  <r>
    <x v="524"/>
    <x v="244"/>
  </r>
  <r>
    <x v="525"/>
    <x v="217"/>
  </r>
  <r>
    <x v="526"/>
    <x v="32"/>
  </r>
  <r>
    <x v="527"/>
    <x v="12"/>
  </r>
  <r>
    <x v="528"/>
    <x v="42"/>
  </r>
  <r>
    <x v="529"/>
    <x v="122"/>
  </r>
  <r>
    <x v="530"/>
    <x v="93"/>
  </r>
  <r>
    <x v="531"/>
    <x v="204"/>
  </r>
  <r>
    <x v="532"/>
    <x v="200"/>
  </r>
  <r>
    <x v="533"/>
    <x v="91"/>
  </r>
  <r>
    <x v="534"/>
    <x v="48"/>
  </r>
  <r>
    <x v="535"/>
    <x v="20"/>
  </r>
  <r>
    <x v="536"/>
    <x v="141"/>
  </r>
  <r>
    <x v="537"/>
    <x v="204"/>
  </r>
  <r>
    <x v="538"/>
    <x v="205"/>
  </r>
  <r>
    <x v="539"/>
    <x v="85"/>
  </r>
  <r>
    <x v="540"/>
    <x v="164"/>
  </r>
  <r>
    <x v="541"/>
    <x v="174"/>
  </r>
  <r>
    <x v="542"/>
    <x v="98"/>
  </r>
  <r>
    <x v="543"/>
    <x v="84"/>
  </r>
  <r>
    <x v="544"/>
    <x v="196"/>
  </r>
  <r>
    <x v="545"/>
    <x v="48"/>
  </r>
  <r>
    <x v="546"/>
    <x v="17"/>
  </r>
  <r>
    <x v="547"/>
    <x v="98"/>
  </r>
  <r>
    <x v="548"/>
    <x v="11"/>
  </r>
  <r>
    <x v="549"/>
    <x v="70"/>
  </r>
  <r>
    <x v="550"/>
    <x v="245"/>
  </r>
  <r>
    <x v="551"/>
    <x v="171"/>
  </r>
  <r>
    <x v="552"/>
    <x v="70"/>
  </r>
  <r>
    <x v="553"/>
    <x v="177"/>
  </r>
  <r>
    <x v="554"/>
    <x v="37"/>
  </r>
  <r>
    <x v="555"/>
    <x v="191"/>
  </r>
  <r>
    <x v="556"/>
    <x v="0"/>
  </r>
  <r>
    <x v="557"/>
    <x v="54"/>
  </r>
  <r>
    <x v="558"/>
    <x v="120"/>
  </r>
  <r>
    <x v="559"/>
    <x v="77"/>
  </r>
  <r>
    <x v="560"/>
    <x v="43"/>
  </r>
  <r>
    <x v="561"/>
    <x v="71"/>
  </r>
  <r>
    <x v="562"/>
    <x v="132"/>
  </r>
  <r>
    <x v="563"/>
    <x v="72"/>
  </r>
  <r>
    <x v="564"/>
    <x v="126"/>
  </r>
  <r>
    <x v="565"/>
    <x v="170"/>
  </r>
  <r>
    <x v="566"/>
    <x v="181"/>
  </r>
  <r>
    <x v="567"/>
    <x v="189"/>
  </r>
  <r>
    <x v="568"/>
    <x v="221"/>
  </r>
  <r>
    <x v="569"/>
    <x v="115"/>
  </r>
  <r>
    <x v="570"/>
    <x v="246"/>
  </r>
  <r>
    <x v="571"/>
    <x v="247"/>
  </r>
  <r>
    <x v="572"/>
    <x v="43"/>
  </r>
  <r>
    <x v="573"/>
    <x v="223"/>
  </r>
  <r>
    <x v="574"/>
    <x v="180"/>
  </r>
  <r>
    <x v="575"/>
    <x v="38"/>
  </r>
  <r>
    <x v="576"/>
    <x v="7"/>
  </r>
  <r>
    <x v="577"/>
    <x v="3"/>
  </r>
  <r>
    <x v="578"/>
    <x v="219"/>
  </r>
  <r>
    <x v="579"/>
    <x v="248"/>
  </r>
  <r>
    <x v="580"/>
    <x v="186"/>
  </r>
  <r>
    <x v="581"/>
    <x v="149"/>
  </r>
  <r>
    <x v="582"/>
    <x v="130"/>
  </r>
  <r>
    <x v="583"/>
    <x v="249"/>
  </r>
  <r>
    <x v="584"/>
    <x v="117"/>
  </r>
  <r>
    <x v="585"/>
    <x v="79"/>
  </r>
  <r>
    <x v="586"/>
    <x v="250"/>
  </r>
  <r>
    <x v="587"/>
    <x v="152"/>
  </r>
  <r>
    <x v="588"/>
    <x v="212"/>
  </r>
  <r>
    <x v="589"/>
    <x v="94"/>
  </r>
  <r>
    <x v="590"/>
    <x v="215"/>
  </r>
  <r>
    <x v="591"/>
    <x v="251"/>
  </r>
  <r>
    <x v="592"/>
    <x v="170"/>
  </r>
  <r>
    <x v="593"/>
    <x v="150"/>
  </r>
  <r>
    <x v="594"/>
    <x v="102"/>
  </r>
  <r>
    <x v="595"/>
    <x v="233"/>
  </r>
  <r>
    <x v="596"/>
    <x v="239"/>
  </r>
  <r>
    <x v="597"/>
    <x v="59"/>
  </r>
  <r>
    <x v="598"/>
    <x v="225"/>
  </r>
  <r>
    <x v="599"/>
    <x v="193"/>
  </r>
  <r>
    <x v="600"/>
    <x v="63"/>
  </r>
  <r>
    <x v="601"/>
    <x v="238"/>
  </r>
  <r>
    <x v="602"/>
    <x v="252"/>
  </r>
  <r>
    <x v="603"/>
    <x v="158"/>
  </r>
  <r>
    <x v="604"/>
    <x v="183"/>
  </r>
  <r>
    <x v="605"/>
    <x v="161"/>
  </r>
  <r>
    <x v="606"/>
    <x v="148"/>
  </r>
  <r>
    <x v="607"/>
    <x v="75"/>
  </r>
  <r>
    <x v="608"/>
    <x v="109"/>
  </r>
  <r>
    <x v="609"/>
    <x v="253"/>
  </r>
  <r>
    <x v="610"/>
    <x v="11"/>
  </r>
  <r>
    <x v="611"/>
    <x v="89"/>
  </r>
  <r>
    <x v="612"/>
    <x v="231"/>
  </r>
  <r>
    <x v="613"/>
    <x v="233"/>
  </r>
  <r>
    <x v="614"/>
    <x v="18"/>
  </r>
  <r>
    <x v="615"/>
    <x v="140"/>
  </r>
  <r>
    <x v="616"/>
    <x v="9"/>
  </r>
  <r>
    <x v="617"/>
    <x v="8"/>
  </r>
  <r>
    <x v="618"/>
    <x v="134"/>
  </r>
  <r>
    <x v="619"/>
    <x v="8"/>
  </r>
  <r>
    <x v="620"/>
    <x v="254"/>
  </r>
  <r>
    <x v="621"/>
    <x v="51"/>
  </r>
  <r>
    <x v="622"/>
    <x v="178"/>
  </r>
  <r>
    <x v="623"/>
    <x v="171"/>
  </r>
  <r>
    <x v="624"/>
    <x v="117"/>
  </r>
  <r>
    <x v="625"/>
    <x v="15"/>
  </r>
  <r>
    <x v="626"/>
    <x v="255"/>
  </r>
  <r>
    <x v="627"/>
    <x v="256"/>
  </r>
  <r>
    <x v="628"/>
    <x v="115"/>
  </r>
  <r>
    <x v="629"/>
    <x v="202"/>
  </r>
  <r>
    <x v="630"/>
    <x v="207"/>
  </r>
  <r>
    <x v="631"/>
    <x v="257"/>
  </r>
  <r>
    <x v="632"/>
    <x v="219"/>
  </r>
  <r>
    <x v="633"/>
    <x v="239"/>
  </r>
  <r>
    <x v="634"/>
    <x v="60"/>
  </r>
  <r>
    <x v="635"/>
    <x v="143"/>
  </r>
  <r>
    <x v="636"/>
    <x v="258"/>
  </r>
  <r>
    <x v="637"/>
    <x v="259"/>
  </r>
  <r>
    <x v="638"/>
    <x v="133"/>
  </r>
  <r>
    <x v="639"/>
    <x v="259"/>
  </r>
  <r>
    <x v="640"/>
    <x v="168"/>
  </r>
  <r>
    <x v="641"/>
    <x v="63"/>
  </r>
  <r>
    <x v="642"/>
    <x v="260"/>
  </r>
  <r>
    <x v="643"/>
    <x v="210"/>
  </r>
  <r>
    <x v="644"/>
    <x v="196"/>
  </r>
  <r>
    <x v="645"/>
    <x v="248"/>
  </r>
  <r>
    <x v="646"/>
    <x v="249"/>
  </r>
  <r>
    <x v="647"/>
    <x v="261"/>
  </r>
  <r>
    <x v="648"/>
    <x v="64"/>
  </r>
  <r>
    <x v="649"/>
    <x v="20"/>
  </r>
  <r>
    <x v="650"/>
    <x v="236"/>
  </r>
  <r>
    <x v="651"/>
    <x v="213"/>
  </r>
  <r>
    <x v="652"/>
    <x v="69"/>
  </r>
  <r>
    <x v="653"/>
    <x v="78"/>
  </r>
  <r>
    <x v="654"/>
    <x v="87"/>
  </r>
  <r>
    <x v="655"/>
    <x v="187"/>
  </r>
  <r>
    <x v="656"/>
    <x v="6"/>
  </r>
  <r>
    <x v="657"/>
    <x v="40"/>
  </r>
  <r>
    <x v="658"/>
    <x v="262"/>
  </r>
  <r>
    <x v="659"/>
    <x v="216"/>
  </r>
  <r>
    <x v="660"/>
    <x v="163"/>
  </r>
  <r>
    <x v="661"/>
    <x v="121"/>
  </r>
  <r>
    <x v="662"/>
    <x v="133"/>
  </r>
  <r>
    <x v="663"/>
    <x v="178"/>
  </r>
  <r>
    <x v="664"/>
    <x v="18"/>
  </r>
  <r>
    <x v="665"/>
    <x v="171"/>
  </r>
  <r>
    <x v="666"/>
    <x v="137"/>
  </r>
  <r>
    <x v="667"/>
    <x v="4"/>
  </r>
  <r>
    <x v="668"/>
    <x v="109"/>
  </r>
  <r>
    <x v="669"/>
    <x v="107"/>
  </r>
  <r>
    <x v="670"/>
    <x v="176"/>
  </r>
  <r>
    <x v="671"/>
    <x v="6"/>
  </r>
  <r>
    <x v="672"/>
    <x v="57"/>
  </r>
  <r>
    <x v="673"/>
    <x v="46"/>
  </r>
  <r>
    <x v="674"/>
    <x v="174"/>
  </r>
  <r>
    <x v="675"/>
    <x v="263"/>
  </r>
  <r>
    <x v="676"/>
    <x v="182"/>
  </r>
  <r>
    <x v="677"/>
    <x v="264"/>
  </r>
  <r>
    <x v="678"/>
    <x v="237"/>
  </r>
  <r>
    <x v="679"/>
    <x v="265"/>
  </r>
  <r>
    <x v="680"/>
    <x v="82"/>
  </r>
  <r>
    <x v="681"/>
    <x v="133"/>
  </r>
  <r>
    <x v="682"/>
    <x v="190"/>
  </r>
  <r>
    <x v="683"/>
    <x v="52"/>
  </r>
  <r>
    <x v="684"/>
    <x v="26"/>
  </r>
  <r>
    <x v="685"/>
    <x v="56"/>
  </r>
  <r>
    <x v="686"/>
    <x v="154"/>
  </r>
  <r>
    <x v="687"/>
    <x v="167"/>
  </r>
  <r>
    <x v="688"/>
    <x v="92"/>
  </r>
  <r>
    <x v="689"/>
    <x v="113"/>
  </r>
  <r>
    <x v="690"/>
    <x v="61"/>
  </r>
  <r>
    <x v="691"/>
    <x v="39"/>
  </r>
  <r>
    <x v="692"/>
    <x v="146"/>
  </r>
  <r>
    <x v="693"/>
    <x v="6"/>
  </r>
  <r>
    <x v="694"/>
    <x v="22"/>
  </r>
  <r>
    <x v="695"/>
    <x v="226"/>
  </r>
  <r>
    <x v="696"/>
    <x v="100"/>
  </r>
  <r>
    <x v="697"/>
    <x v="142"/>
  </r>
  <r>
    <x v="698"/>
    <x v="266"/>
  </r>
  <r>
    <x v="699"/>
    <x v="31"/>
  </r>
  <r>
    <x v="700"/>
    <x v="19"/>
  </r>
  <r>
    <x v="701"/>
    <x v="217"/>
  </r>
  <r>
    <x v="702"/>
    <x v="250"/>
  </r>
  <r>
    <x v="703"/>
    <x v="210"/>
  </r>
  <r>
    <x v="704"/>
    <x v="18"/>
  </r>
  <r>
    <x v="705"/>
    <x v="185"/>
  </r>
  <r>
    <x v="706"/>
    <x v="42"/>
  </r>
  <r>
    <x v="707"/>
    <x v="267"/>
  </r>
  <r>
    <x v="708"/>
    <x v="89"/>
  </r>
  <r>
    <x v="709"/>
    <x v="254"/>
  </r>
  <r>
    <x v="710"/>
    <x v="132"/>
  </r>
  <r>
    <x v="711"/>
    <x v="268"/>
  </r>
  <r>
    <x v="712"/>
    <x v="204"/>
  </r>
  <r>
    <x v="0"/>
    <x v="226"/>
  </r>
  <r>
    <x v="1"/>
    <x v="269"/>
  </r>
  <r>
    <x v="4"/>
    <x v="214"/>
  </r>
  <r>
    <x v="5"/>
    <x v="98"/>
  </r>
  <r>
    <x v="6"/>
    <x v="253"/>
  </r>
  <r>
    <x v="7"/>
    <x v="74"/>
  </r>
  <r>
    <x v="9"/>
    <x v="73"/>
  </r>
  <r>
    <x v="10"/>
    <x v="270"/>
  </r>
  <r>
    <x v="11"/>
    <x v="230"/>
  </r>
  <r>
    <x v="13"/>
    <x v="244"/>
  </r>
  <r>
    <x v="14"/>
    <x v="158"/>
  </r>
  <r>
    <x v="16"/>
    <x v="271"/>
  </r>
  <r>
    <x v="17"/>
    <x v="272"/>
  </r>
  <r>
    <x v="19"/>
    <x v="2"/>
  </r>
  <r>
    <x v="22"/>
    <x v="81"/>
  </r>
  <r>
    <x v="24"/>
    <x v="33"/>
  </r>
  <r>
    <x v="25"/>
    <x v="176"/>
  </r>
  <r>
    <x v="26"/>
    <x v="251"/>
  </r>
  <r>
    <x v="27"/>
    <x v="236"/>
  </r>
  <r>
    <x v="29"/>
    <x v="72"/>
  </r>
  <r>
    <x v="30"/>
    <x v="273"/>
  </r>
  <r>
    <x v="31"/>
    <x v="103"/>
  </r>
  <r>
    <x v="32"/>
    <x v="240"/>
  </r>
  <r>
    <x v="34"/>
    <x v="169"/>
  </r>
  <r>
    <x v="37"/>
    <x v="136"/>
  </r>
  <r>
    <x v="38"/>
    <x v="23"/>
  </r>
  <r>
    <x v="43"/>
    <x v="68"/>
  </r>
  <r>
    <x v="44"/>
    <x v="274"/>
  </r>
  <r>
    <x v="45"/>
    <x v="71"/>
  </r>
  <r>
    <x v="48"/>
    <x v="275"/>
  </r>
  <r>
    <x v="49"/>
    <x v="245"/>
  </r>
  <r>
    <x v="50"/>
    <x v="30"/>
  </r>
  <r>
    <x v="51"/>
    <x v="104"/>
  </r>
  <r>
    <x v="52"/>
    <x v="107"/>
  </r>
  <r>
    <x v="53"/>
    <x v="111"/>
  </r>
  <r>
    <x v="54"/>
    <x v="271"/>
  </r>
  <r>
    <x v="55"/>
    <x v="274"/>
  </r>
  <r>
    <x v="56"/>
    <x v="60"/>
  </r>
  <r>
    <x v="57"/>
    <x v="276"/>
  </r>
  <r>
    <x v="59"/>
    <x v="277"/>
  </r>
  <r>
    <x v="60"/>
    <x v="70"/>
  </r>
  <r>
    <x v="61"/>
    <x v="245"/>
  </r>
  <r>
    <x v="62"/>
    <x v="278"/>
  </r>
  <r>
    <x v="63"/>
    <x v="5"/>
  </r>
  <r>
    <x v="64"/>
    <x v="199"/>
  </r>
  <r>
    <x v="65"/>
    <x v="229"/>
  </r>
  <r>
    <x v="67"/>
    <x v="261"/>
  </r>
  <r>
    <x v="69"/>
    <x v="279"/>
  </r>
  <r>
    <x v="72"/>
    <x v="223"/>
  </r>
  <r>
    <x v="73"/>
    <x v="164"/>
  </r>
  <r>
    <x v="74"/>
    <x v="14"/>
  </r>
  <r>
    <x v="76"/>
    <x v="152"/>
  </r>
  <r>
    <x v="77"/>
    <x v="102"/>
  </r>
  <r>
    <x v="78"/>
    <x v="280"/>
  </r>
  <r>
    <x v="80"/>
    <x v="11"/>
  </r>
  <r>
    <x v="81"/>
    <x v="276"/>
  </r>
  <r>
    <x v="82"/>
    <x v="226"/>
  </r>
  <r>
    <x v="83"/>
    <x v="231"/>
  </r>
  <r>
    <x v="85"/>
    <x v="5"/>
  </r>
  <r>
    <x v="87"/>
    <x v="45"/>
  </r>
  <r>
    <x v="88"/>
    <x v="281"/>
  </r>
  <r>
    <x v="89"/>
    <x v="280"/>
  </r>
  <r>
    <x v="90"/>
    <x v="77"/>
  </r>
  <r>
    <x v="92"/>
    <x v="275"/>
  </r>
  <r>
    <x v="93"/>
    <x v="112"/>
  </r>
  <r>
    <x v="94"/>
    <x v="282"/>
  </r>
  <r>
    <x v="95"/>
    <x v="112"/>
  </r>
  <r>
    <x v="96"/>
    <x v="53"/>
  </r>
  <r>
    <x v="97"/>
    <x v="205"/>
  </r>
  <r>
    <x v="98"/>
    <x v="67"/>
  </r>
  <r>
    <x v="99"/>
    <x v="60"/>
  </r>
  <r>
    <x v="101"/>
    <x v="192"/>
  </r>
  <r>
    <x v="102"/>
    <x v="75"/>
  </r>
  <r>
    <x v="103"/>
    <x v="3"/>
  </r>
  <r>
    <x v="105"/>
    <x v="204"/>
  </r>
  <r>
    <x v="106"/>
    <x v="174"/>
  </r>
  <r>
    <x v="107"/>
    <x v="192"/>
  </r>
  <r>
    <x v="108"/>
    <x v="283"/>
  </r>
  <r>
    <x v="109"/>
    <x v="284"/>
  </r>
  <r>
    <x v="110"/>
    <x v="279"/>
  </r>
  <r>
    <x v="111"/>
    <x v="33"/>
  </r>
  <r>
    <x v="112"/>
    <x v="248"/>
  </r>
  <r>
    <x v="113"/>
    <x v="146"/>
  </r>
  <r>
    <x v="118"/>
    <x v="83"/>
  </r>
  <r>
    <x v="119"/>
    <x v="256"/>
  </r>
  <r>
    <x v="121"/>
    <x v="253"/>
  </r>
  <r>
    <x v="122"/>
    <x v="235"/>
  </r>
  <r>
    <x v="123"/>
    <x v="163"/>
  </r>
  <r>
    <x v="126"/>
    <x v="216"/>
  </r>
  <r>
    <x v="128"/>
    <x v="260"/>
  </r>
  <r>
    <x v="129"/>
    <x v="285"/>
  </r>
  <r>
    <x v="130"/>
    <x v="286"/>
  </r>
  <r>
    <x v="134"/>
    <x v="34"/>
  </r>
  <r>
    <x v="136"/>
    <x v="22"/>
  </r>
  <r>
    <x v="137"/>
    <x v="287"/>
  </r>
  <r>
    <x v="138"/>
    <x v="68"/>
  </r>
  <r>
    <x v="139"/>
    <x v="161"/>
  </r>
  <r>
    <x v="140"/>
    <x v="288"/>
  </r>
  <r>
    <x v="147"/>
    <x v="95"/>
  </r>
  <r>
    <x v="148"/>
    <x v="261"/>
  </r>
  <r>
    <x v="149"/>
    <x v="229"/>
  </r>
  <r>
    <x v="153"/>
    <x v="258"/>
  </r>
  <r>
    <x v="154"/>
    <x v="128"/>
  </r>
  <r>
    <x v="155"/>
    <x v="59"/>
  </r>
  <r>
    <x v="156"/>
    <x v="240"/>
  </r>
  <r>
    <x v="157"/>
    <x v="54"/>
  </r>
  <r>
    <x v="158"/>
    <x v="235"/>
  </r>
  <r>
    <x v="159"/>
    <x v="289"/>
  </r>
  <r>
    <x v="160"/>
    <x v="144"/>
  </r>
  <r>
    <x v="161"/>
    <x v="277"/>
  </r>
  <r>
    <x v="162"/>
    <x v="124"/>
  </r>
  <r>
    <x v="164"/>
    <x v="31"/>
  </r>
  <r>
    <x v="166"/>
    <x v="41"/>
  </r>
  <r>
    <x v="168"/>
    <x v="101"/>
  </r>
  <r>
    <x v="169"/>
    <x v="72"/>
  </r>
  <r>
    <x v="171"/>
    <x v="70"/>
  </r>
  <r>
    <x v="172"/>
    <x v="272"/>
  </r>
  <r>
    <x v="173"/>
    <x v="264"/>
  </r>
  <r>
    <x v="174"/>
    <x v="84"/>
  </r>
  <r>
    <x v="175"/>
    <x v="10"/>
  </r>
  <r>
    <x v="176"/>
    <x v="176"/>
  </r>
  <r>
    <x v="177"/>
    <x v="290"/>
  </r>
  <r>
    <x v="178"/>
    <x v="123"/>
  </r>
  <r>
    <x v="179"/>
    <x v="231"/>
  </r>
  <r>
    <x v="180"/>
    <x v="291"/>
  </r>
  <r>
    <x v="181"/>
    <x v="75"/>
  </r>
  <r>
    <x v="182"/>
    <x v="93"/>
  </r>
  <r>
    <x v="183"/>
    <x v="190"/>
  </r>
  <r>
    <x v="185"/>
    <x v="256"/>
  </r>
  <r>
    <x v="186"/>
    <x v="205"/>
  </r>
  <r>
    <x v="187"/>
    <x v="276"/>
  </r>
  <r>
    <x v="188"/>
    <x v="0"/>
  </r>
  <r>
    <x v="191"/>
    <x v="86"/>
  </r>
  <r>
    <x v="192"/>
    <x v="261"/>
  </r>
  <r>
    <x v="193"/>
    <x v="77"/>
  </r>
  <r>
    <x v="194"/>
    <x v="278"/>
  </r>
  <r>
    <x v="197"/>
    <x v="32"/>
  </r>
  <r>
    <x v="198"/>
    <x v="292"/>
  </r>
  <r>
    <x v="199"/>
    <x v="248"/>
  </r>
  <r>
    <x v="201"/>
    <x v="64"/>
  </r>
  <r>
    <x v="202"/>
    <x v="256"/>
  </r>
  <r>
    <x v="203"/>
    <x v="44"/>
  </r>
  <r>
    <x v="204"/>
    <x v="12"/>
  </r>
  <r>
    <x v="205"/>
    <x v="288"/>
  </r>
  <r>
    <x v="206"/>
    <x v="70"/>
  </r>
  <r>
    <x v="208"/>
    <x v="193"/>
  </r>
  <r>
    <x v="213"/>
    <x v="245"/>
  </r>
  <r>
    <x v="216"/>
    <x v="37"/>
  </r>
  <r>
    <x v="219"/>
    <x v="222"/>
  </r>
  <r>
    <x v="220"/>
    <x v="253"/>
  </r>
  <r>
    <x v="222"/>
    <x v="287"/>
  </r>
  <r>
    <x v="223"/>
    <x v="114"/>
  </r>
  <r>
    <x v="227"/>
    <x v="130"/>
  </r>
  <r>
    <x v="229"/>
    <x v="268"/>
  </r>
  <r>
    <x v="231"/>
    <x v="10"/>
  </r>
  <r>
    <x v="232"/>
    <x v="174"/>
  </r>
  <r>
    <x v="233"/>
    <x v="230"/>
  </r>
  <r>
    <x v="234"/>
    <x v="113"/>
  </r>
  <r>
    <x v="235"/>
    <x v="106"/>
  </r>
  <r>
    <x v="236"/>
    <x v="50"/>
  </r>
  <r>
    <x v="237"/>
    <x v="164"/>
  </r>
  <r>
    <x v="238"/>
    <x v="248"/>
  </r>
  <r>
    <x v="239"/>
    <x v="17"/>
  </r>
  <r>
    <x v="245"/>
    <x v="123"/>
  </r>
  <r>
    <x v="246"/>
    <x v="282"/>
  </r>
  <r>
    <x v="247"/>
    <x v="22"/>
  </r>
  <r>
    <x v="249"/>
    <x v="236"/>
  </r>
  <r>
    <x v="250"/>
    <x v="212"/>
  </r>
  <r>
    <x v="252"/>
    <x v="216"/>
  </r>
  <r>
    <x v="253"/>
    <x v="229"/>
  </r>
  <r>
    <x v="254"/>
    <x v="216"/>
  </r>
  <r>
    <x v="257"/>
    <x v="260"/>
  </r>
  <r>
    <x v="260"/>
    <x v="204"/>
  </r>
  <r>
    <x v="263"/>
    <x v="44"/>
  </r>
  <r>
    <x v="264"/>
    <x v="231"/>
  </r>
  <r>
    <x v="267"/>
    <x v="88"/>
  </r>
  <r>
    <x v="269"/>
    <x v="75"/>
  </r>
  <r>
    <x v="272"/>
    <x v="121"/>
  </r>
  <r>
    <x v="273"/>
    <x v="293"/>
  </r>
  <r>
    <x v="274"/>
    <x v="281"/>
  </r>
  <r>
    <x v="275"/>
    <x v="65"/>
  </r>
  <r>
    <x v="277"/>
    <x v="267"/>
  </r>
  <r>
    <x v="278"/>
    <x v="153"/>
  </r>
  <r>
    <x v="280"/>
    <x v="232"/>
  </r>
  <r>
    <x v="281"/>
    <x v="106"/>
  </r>
  <r>
    <x v="283"/>
    <x v="94"/>
  </r>
  <r>
    <x v="285"/>
    <x v="99"/>
  </r>
  <r>
    <x v="286"/>
    <x v="128"/>
  </r>
  <r>
    <x v="288"/>
    <x v="247"/>
  </r>
  <r>
    <x v="290"/>
    <x v="120"/>
  </r>
  <r>
    <x v="291"/>
    <x v="139"/>
  </r>
  <r>
    <x v="292"/>
    <x v="5"/>
  </r>
  <r>
    <x v="294"/>
    <x v="224"/>
  </r>
  <r>
    <x v="295"/>
    <x v="83"/>
  </r>
  <r>
    <x v="296"/>
    <x v="294"/>
  </r>
  <r>
    <x v="298"/>
    <x v="65"/>
  </r>
  <r>
    <x v="299"/>
    <x v="28"/>
  </r>
  <r>
    <x v="300"/>
    <x v="160"/>
  </r>
  <r>
    <x v="301"/>
    <x v="119"/>
  </r>
  <r>
    <x v="303"/>
    <x v="233"/>
  </r>
  <r>
    <x v="304"/>
    <x v="97"/>
  </r>
  <r>
    <x v="305"/>
    <x v="151"/>
  </r>
  <r>
    <x v="307"/>
    <x v="251"/>
  </r>
  <r>
    <x v="309"/>
    <x v="292"/>
  </r>
  <r>
    <x v="311"/>
    <x v="116"/>
  </r>
  <r>
    <x v="312"/>
    <x v="25"/>
  </r>
  <r>
    <x v="313"/>
    <x v="52"/>
  </r>
  <r>
    <x v="314"/>
    <x v="218"/>
  </r>
  <r>
    <x v="316"/>
    <x v="251"/>
  </r>
  <r>
    <x v="320"/>
    <x v="212"/>
  </r>
  <r>
    <x v="321"/>
    <x v="252"/>
  </r>
  <r>
    <x v="322"/>
    <x v="233"/>
  </r>
  <r>
    <x v="323"/>
    <x v="225"/>
  </r>
  <r>
    <x v="324"/>
    <x v="287"/>
  </r>
  <r>
    <x v="325"/>
    <x v="150"/>
  </r>
  <r>
    <x v="328"/>
    <x v="164"/>
  </r>
  <r>
    <x v="329"/>
    <x v="186"/>
  </r>
  <r>
    <x v="330"/>
    <x v="54"/>
  </r>
  <r>
    <x v="331"/>
    <x v="59"/>
  </r>
  <r>
    <x v="332"/>
    <x v="183"/>
  </r>
  <r>
    <x v="333"/>
    <x v="5"/>
  </r>
  <r>
    <x v="334"/>
    <x v="289"/>
  </r>
  <r>
    <x v="335"/>
    <x v="183"/>
  </r>
  <r>
    <x v="338"/>
    <x v="59"/>
  </r>
  <r>
    <x v="339"/>
    <x v="295"/>
  </r>
  <r>
    <x v="341"/>
    <x v="206"/>
  </r>
  <r>
    <x v="342"/>
    <x v="49"/>
  </r>
  <r>
    <x v="343"/>
    <x v="272"/>
  </r>
  <r>
    <x v="344"/>
    <x v="70"/>
  </r>
  <r>
    <x v="346"/>
    <x v="63"/>
  </r>
  <r>
    <x v="347"/>
    <x v="50"/>
  </r>
  <r>
    <x v="348"/>
    <x v="273"/>
  </r>
  <r>
    <x v="349"/>
    <x v="153"/>
  </r>
  <r>
    <x v="350"/>
    <x v="219"/>
  </r>
  <r>
    <x v="353"/>
    <x v="215"/>
  </r>
  <r>
    <x v="354"/>
    <x v="110"/>
  </r>
  <r>
    <x v="357"/>
    <x v="204"/>
  </r>
  <r>
    <x v="358"/>
    <x v="266"/>
  </r>
  <r>
    <x v="359"/>
    <x v="183"/>
  </r>
  <r>
    <x v="360"/>
    <x v="25"/>
  </r>
  <r>
    <x v="361"/>
    <x v="228"/>
  </r>
  <r>
    <x v="362"/>
    <x v="173"/>
  </r>
  <r>
    <x v="363"/>
    <x v="98"/>
  </r>
  <r>
    <x v="364"/>
    <x v="247"/>
  </r>
  <r>
    <x v="366"/>
    <x v="296"/>
  </r>
  <r>
    <x v="367"/>
    <x v="284"/>
  </r>
  <r>
    <x v="369"/>
    <x v="119"/>
  </r>
  <r>
    <x v="370"/>
    <x v="297"/>
  </r>
  <r>
    <x v="371"/>
    <x v="298"/>
  </r>
  <r>
    <x v="372"/>
    <x v="220"/>
  </r>
  <r>
    <x v="374"/>
    <x v="120"/>
  </r>
  <r>
    <x v="375"/>
    <x v="57"/>
  </r>
  <r>
    <x v="377"/>
    <x v="38"/>
  </r>
  <r>
    <x v="381"/>
    <x v="146"/>
  </r>
  <r>
    <x v="382"/>
    <x v="160"/>
  </r>
  <r>
    <x v="383"/>
    <x v="299"/>
  </r>
  <r>
    <x v="384"/>
    <x v="186"/>
  </r>
  <r>
    <x v="385"/>
    <x v="39"/>
  </r>
  <r>
    <x v="386"/>
    <x v="48"/>
  </r>
  <r>
    <x v="387"/>
    <x v="137"/>
  </r>
  <r>
    <x v="388"/>
    <x v="235"/>
  </r>
  <r>
    <x v="390"/>
    <x v="260"/>
  </r>
  <r>
    <x v="392"/>
    <x v="109"/>
  </r>
  <r>
    <x v="393"/>
    <x v="268"/>
  </r>
  <r>
    <x v="395"/>
    <x v="267"/>
  </r>
  <r>
    <x v="397"/>
    <x v="204"/>
  </r>
  <r>
    <x v="399"/>
    <x v="137"/>
  </r>
  <r>
    <x v="400"/>
    <x v="185"/>
  </r>
  <r>
    <x v="401"/>
    <x v="109"/>
  </r>
  <r>
    <x v="402"/>
    <x v="214"/>
  </r>
  <r>
    <x v="403"/>
    <x v="210"/>
  </r>
  <r>
    <x v="404"/>
    <x v="37"/>
  </r>
  <r>
    <x v="405"/>
    <x v="225"/>
  </r>
  <r>
    <x v="406"/>
    <x v="223"/>
  </r>
  <r>
    <x v="407"/>
    <x v="225"/>
  </r>
  <r>
    <x v="408"/>
    <x v="192"/>
  </r>
  <r>
    <x v="411"/>
    <x v="300"/>
  </r>
  <r>
    <x v="413"/>
    <x v="87"/>
  </r>
  <r>
    <x v="415"/>
    <x v="20"/>
  </r>
  <r>
    <x v="416"/>
    <x v="102"/>
  </r>
  <r>
    <x v="417"/>
    <x v="267"/>
  </r>
  <r>
    <x v="419"/>
    <x v="21"/>
  </r>
  <r>
    <x v="420"/>
    <x v="185"/>
  </r>
  <r>
    <x v="421"/>
    <x v="268"/>
  </r>
  <r>
    <x v="422"/>
    <x v="91"/>
  </r>
  <r>
    <x v="423"/>
    <x v="85"/>
  </r>
  <r>
    <x v="426"/>
    <x v="276"/>
  </r>
  <r>
    <x v="427"/>
    <x v="219"/>
  </r>
  <r>
    <x v="428"/>
    <x v="154"/>
  </r>
  <r>
    <x v="429"/>
    <x v="50"/>
  </r>
  <r>
    <x v="430"/>
    <x v="190"/>
  </r>
  <r>
    <x v="431"/>
    <x v="204"/>
  </r>
  <r>
    <x v="434"/>
    <x v="139"/>
  </r>
  <r>
    <x v="435"/>
    <x v="96"/>
  </r>
  <r>
    <x v="436"/>
    <x v="29"/>
  </r>
  <r>
    <x v="437"/>
    <x v="59"/>
  </r>
  <r>
    <x v="438"/>
    <x v="220"/>
  </r>
  <r>
    <x v="439"/>
    <x v="113"/>
  </r>
  <r>
    <x v="440"/>
    <x v="59"/>
  </r>
  <r>
    <x v="441"/>
    <x v="74"/>
  </r>
  <r>
    <x v="442"/>
    <x v="0"/>
  </r>
  <r>
    <x v="443"/>
    <x v="301"/>
  </r>
  <r>
    <x v="444"/>
    <x v="42"/>
  </r>
  <r>
    <x v="445"/>
    <x v="265"/>
  </r>
  <r>
    <x v="446"/>
    <x v="225"/>
  </r>
  <r>
    <x v="447"/>
    <x v="302"/>
  </r>
  <r>
    <x v="448"/>
    <x v="303"/>
  </r>
  <r>
    <x v="449"/>
    <x v="209"/>
  </r>
  <r>
    <x v="450"/>
    <x v="113"/>
  </r>
  <r>
    <x v="452"/>
    <x v="76"/>
  </r>
  <r>
    <x v="453"/>
    <x v="5"/>
  </r>
  <r>
    <x v="454"/>
    <x v="263"/>
  </r>
  <r>
    <x v="456"/>
    <x v="210"/>
  </r>
  <r>
    <x v="457"/>
    <x v="166"/>
  </r>
  <r>
    <x v="458"/>
    <x v="6"/>
  </r>
  <r>
    <x v="460"/>
    <x v="162"/>
  </r>
  <r>
    <x v="461"/>
    <x v="13"/>
  </r>
  <r>
    <x v="462"/>
    <x v="241"/>
  </r>
  <r>
    <x v="463"/>
    <x v="195"/>
  </r>
  <r>
    <x v="464"/>
    <x v="14"/>
  </r>
  <r>
    <x v="467"/>
    <x v="121"/>
  </r>
  <r>
    <x v="468"/>
    <x v="134"/>
  </r>
  <r>
    <x v="469"/>
    <x v="193"/>
  </r>
  <r>
    <x v="470"/>
    <x v="286"/>
  </r>
  <r>
    <x v="473"/>
    <x v="193"/>
  </r>
  <r>
    <x v="474"/>
    <x v="83"/>
  </r>
  <r>
    <x v="476"/>
    <x v="258"/>
  </r>
  <r>
    <x v="477"/>
    <x v="295"/>
  </r>
  <r>
    <x v="478"/>
    <x v="304"/>
  </r>
  <r>
    <x v="479"/>
    <x v="19"/>
  </r>
  <r>
    <x v="480"/>
    <x v="175"/>
  </r>
  <r>
    <x v="481"/>
    <x v="182"/>
  </r>
  <r>
    <x v="482"/>
    <x v="226"/>
  </r>
  <r>
    <x v="483"/>
    <x v="139"/>
  </r>
  <r>
    <x v="484"/>
    <x v="305"/>
  </r>
  <r>
    <x v="485"/>
    <x v="305"/>
  </r>
  <r>
    <x v="486"/>
    <x v="288"/>
  </r>
  <r>
    <x v="487"/>
    <x v="306"/>
  </r>
  <r>
    <x v="488"/>
    <x v="133"/>
  </r>
  <r>
    <x v="489"/>
    <x v="249"/>
  </r>
  <r>
    <x v="490"/>
    <x v="198"/>
  </r>
  <r>
    <x v="493"/>
    <x v="307"/>
  </r>
  <r>
    <x v="495"/>
    <x v="169"/>
  </r>
  <r>
    <x v="496"/>
    <x v="121"/>
  </r>
  <r>
    <x v="497"/>
    <x v="177"/>
  </r>
  <r>
    <x v="498"/>
    <x v="92"/>
  </r>
  <r>
    <x v="499"/>
    <x v="100"/>
  </r>
  <r>
    <x v="501"/>
    <x v="32"/>
  </r>
  <r>
    <x v="503"/>
    <x v="93"/>
  </r>
  <r>
    <x v="504"/>
    <x v="276"/>
  </r>
  <r>
    <x v="505"/>
    <x v="64"/>
  </r>
  <r>
    <x v="506"/>
    <x v="78"/>
  </r>
  <r>
    <x v="507"/>
    <x v="59"/>
  </r>
  <r>
    <x v="510"/>
    <x v="17"/>
  </r>
  <r>
    <x v="513"/>
    <x v="53"/>
  </r>
  <r>
    <x v="517"/>
    <x v="308"/>
  </r>
  <r>
    <x v="519"/>
    <x v="180"/>
  </r>
  <r>
    <x v="520"/>
    <x v="288"/>
  </r>
  <r>
    <x v="521"/>
    <x v="235"/>
  </r>
  <r>
    <x v="522"/>
    <x v="124"/>
  </r>
  <r>
    <x v="523"/>
    <x v="42"/>
  </r>
  <r>
    <x v="527"/>
    <x v="14"/>
  </r>
  <r>
    <x v="528"/>
    <x v="274"/>
  </r>
  <r>
    <x v="529"/>
    <x v="54"/>
  </r>
  <r>
    <x v="530"/>
    <x v="256"/>
  </r>
  <r>
    <x v="531"/>
    <x v="110"/>
  </r>
  <r>
    <x v="532"/>
    <x v="49"/>
  </r>
  <r>
    <x v="534"/>
    <x v="107"/>
  </r>
  <r>
    <x v="535"/>
    <x v="309"/>
  </r>
  <r>
    <x v="537"/>
    <x v="110"/>
  </r>
  <r>
    <x v="538"/>
    <x v="141"/>
  </r>
  <r>
    <x v="539"/>
    <x v="204"/>
  </r>
  <r>
    <x v="540"/>
    <x v="212"/>
  </r>
  <r>
    <x v="541"/>
    <x v="302"/>
  </r>
  <r>
    <x v="544"/>
    <x v="310"/>
  </r>
  <r>
    <x v="546"/>
    <x v="272"/>
  </r>
  <r>
    <x v="547"/>
    <x v="36"/>
  </r>
  <r>
    <x v="548"/>
    <x v="230"/>
  </r>
  <r>
    <x v="549"/>
    <x v="247"/>
  </r>
  <r>
    <x v="550"/>
    <x v="311"/>
  </r>
  <r>
    <x v="551"/>
    <x v="293"/>
  </r>
  <r>
    <x v="552"/>
    <x v="247"/>
  </r>
  <r>
    <x v="553"/>
    <x v="312"/>
  </r>
  <r>
    <x v="554"/>
    <x v="23"/>
  </r>
  <r>
    <x v="555"/>
    <x v="78"/>
  </r>
  <r>
    <x v="557"/>
    <x v="70"/>
  </r>
  <r>
    <x v="558"/>
    <x v="128"/>
  </r>
  <r>
    <x v="559"/>
    <x v="282"/>
  </r>
  <r>
    <x v="561"/>
    <x v="209"/>
  </r>
  <r>
    <x v="562"/>
    <x v="290"/>
  </r>
  <r>
    <x v="563"/>
    <x v="45"/>
  </r>
  <r>
    <x v="564"/>
    <x v="109"/>
  </r>
  <r>
    <x v="565"/>
    <x v="121"/>
  </r>
  <r>
    <x v="566"/>
    <x v="28"/>
  </r>
  <r>
    <x v="567"/>
    <x v="218"/>
  </r>
  <r>
    <x v="568"/>
    <x v="313"/>
  </r>
  <r>
    <x v="569"/>
    <x v="69"/>
  </r>
  <r>
    <x v="570"/>
    <x v="9"/>
  </r>
  <r>
    <x v="571"/>
    <x v="142"/>
  </r>
  <r>
    <x v="572"/>
    <x v="71"/>
  </r>
  <r>
    <x v="574"/>
    <x v="294"/>
  </r>
  <r>
    <x v="575"/>
    <x v="156"/>
  </r>
  <r>
    <x v="577"/>
    <x v="99"/>
  </r>
  <r>
    <x v="578"/>
    <x v="300"/>
  </r>
  <r>
    <x v="579"/>
    <x v="27"/>
  </r>
  <r>
    <x v="580"/>
    <x v="116"/>
  </r>
  <r>
    <x v="582"/>
    <x v="84"/>
  </r>
  <r>
    <x v="583"/>
    <x v="126"/>
  </r>
  <r>
    <x v="584"/>
    <x v="245"/>
  </r>
  <r>
    <x v="586"/>
    <x v="188"/>
  </r>
  <r>
    <x v="588"/>
    <x v="299"/>
  </r>
  <r>
    <x v="589"/>
    <x v="43"/>
  </r>
  <r>
    <x v="590"/>
    <x v="137"/>
  </r>
  <r>
    <x v="592"/>
    <x v="121"/>
  </r>
  <r>
    <x v="595"/>
    <x v="162"/>
  </r>
  <r>
    <x v="596"/>
    <x v="305"/>
  </r>
  <r>
    <x v="598"/>
    <x v="154"/>
  </r>
  <r>
    <x v="602"/>
    <x v="58"/>
  </r>
  <r>
    <x v="603"/>
    <x v="17"/>
  </r>
  <r>
    <x v="604"/>
    <x v="119"/>
  </r>
  <r>
    <x v="605"/>
    <x v="47"/>
  </r>
  <r>
    <x v="607"/>
    <x v="180"/>
  </r>
  <r>
    <x v="608"/>
    <x v="161"/>
  </r>
  <r>
    <x v="609"/>
    <x v="181"/>
  </r>
  <r>
    <x v="610"/>
    <x v="230"/>
  </r>
  <r>
    <x v="613"/>
    <x v="162"/>
  </r>
  <r>
    <x v="614"/>
    <x v="30"/>
  </r>
  <r>
    <x v="615"/>
    <x v="77"/>
  </r>
  <r>
    <x v="616"/>
    <x v="73"/>
  </r>
  <r>
    <x v="619"/>
    <x v="18"/>
  </r>
  <r>
    <x v="620"/>
    <x v="314"/>
  </r>
  <r>
    <x v="621"/>
    <x v="276"/>
  </r>
  <r>
    <x v="622"/>
    <x v="139"/>
  </r>
  <r>
    <x v="623"/>
    <x v="293"/>
  </r>
  <r>
    <x v="624"/>
    <x v="245"/>
  </r>
  <r>
    <x v="626"/>
    <x v="315"/>
  </r>
  <r>
    <x v="627"/>
    <x v="316"/>
  </r>
  <r>
    <x v="628"/>
    <x v="69"/>
  </r>
  <r>
    <x v="629"/>
    <x v="219"/>
  </r>
  <r>
    <x v="630"/>
    <x v="266"/>
  </r>
  <r>
    <x v="631"/>
    <x v="237"/>
  </r>
  <r>
    <x v="633"/>
    <x v="305"/>
  </r>
  <r>
    <x v="635"/>
    <x v="64"/>
  </r>
  <r>
    <x v="637"/>
    <x v="227"/>
  </r>
  <r>
    <x v="638"/>
    <x v="123"/>
  </r>
  <r>
    <x v="640"/>
    <x v="46"/>
  </r>
  <r>
    <x v="641"/>
    <x v="164"/>
  </r>
  <r>
    <x v="644"/>
    <x v="310"/>
  </r>
  <r>
    <x v="645"/>
    <x v="27"/>
  </r>
  <r>
    <x v="646"/>
    <x v="126"/>
  </r>
  <r>
    <x v="647"/>
    <x v="105"/>
  </r>
  <r>
    <x v="648"/>
    <x v="317"/>
  </r>
  <r>
    <x v="649"/>
    <x v="309"/>
  </r>
  <r>
    <x v="650"/>
    <x v="304"/>
  </r>
  <r>
    <x v="651"/>
    <x v="39"/>
  </r>
  <r>
    <x v="652"/>
    <x v="231"/>
  </r>
  <r>
    <x v="653"/>
    <x v="205"/>
  </r>
  <r>
    <x v="654"/>
    <x v="283"/>
  </r>
  <r>
    <x v="657"/>
    <x v="278"/>
  </r>
  <r>
    <x v="659"/>
    <x v="197"/>
  </r>
  <r>
    <x v="663"/>
    <x v="139"/>
  </r>
  <r>
    <x v="665"/>
    <x v="293"/>
  </r>
  <r>
    <x v="666"/>
    <x v="0"/>
  </r>
  <r>
    <x v="667"/>
    <x v="214"/>
  </r>
  <r>
    <x v="669"/>
    <x v="22"/>
  </r>
  <r>
    <x v="670"/>
    <x v="177"/>
  </r>
  <r>
    <x v="671"/>
    <x v="253"/>
  </r>
  <r>
    <x v="672"/>
    <x v="229"/>
  </r>
  <r>
    <x v="673"/>
    <x v="245"/>
  </r>
  <r>
    <x v="674"/>
    <x v="302"/>
  </r>
  <r>
    <x v="675"/>
    <x v="187"/>
  </r>
  <r>
    <x v="676"/>
    <x v="160"/>
  </r>
  <r>
    <x v="677"/>
    <x v="90"/>
  </r>
  <r>
    <x v="678"/>
    <x v="19"/>
  </r>
  <r>
    <x v="679"/>
    <x v="79"/>
  </r>
  <r>
    <x v="680"/>
    <x v="75"/>
  </r>
  <r>
    <x v="685"/>
    <x v="199"/>
  </r>
  <r>
    <x v="686"/>
    <x v="268"/>
  </r>
  <r>
    <x v="687"/>
    <x v="190"/>
  </r>
  <r>
    <x v="688"/>
    <x v="83"/>
  </r>
  <r>
    <x v="689"/>
    <x v="92"/>
  </r>
  <r>
    <x v="690"/>
    <x v="210"/>
  </r>
  <r>
    <x v="691"/>
    <x v="248"/>
  </r>
  <r>
    <x v="693"/>
    <x v="253"/>
  </r>
  <r>
    <x v="694"/>
    <x v="81"/>
  </r>
  <r>
    <x v="696"/>
    <x v="260"/>
  </r>
  <r>
    <x v="700"/>
    <x v="2"/>
  </r>
  <r>
    <x v="701"/>
    <x v="185"/>
  </r>
  <r>
    <x v="702"/>
    <x v="188"/>
  </r>
  <r>
    <x v="705"/>
    <x v="97"/>
  </r>
  <r>
    <x v="706"/>
    <x v="274"/>
  </r>
  <r>
    <x v="707"/>
    <x v="165"/>
  </r>
  <r>
    <x v="711"/>
    <x v="318"/>
  </r>
  <r>
    <x v="712"/>
    <x v="110"/>
  </r>
  <r>
    <x v="0"/>
    <x v="301"/>
  </r>
  <r>
    <x v="1"/>
    <x v="319"/>
  </r>
  <r>
    <x v="4"/>
    <x v="48"/>
  </r>
  <r>
    <x v="5"/>
    <x v="36"/>
  </r>
  <r>
    <x v="7"/>
    <x v="77"/>
  </r>
  <r>
    <x v="9"/>
    <x v="281"/>
  </r>
  <r>
    <x v="10"/>
    <x v="320"/>
  </r>
  <r>
    <x v="11"/>
    <x v="76"/>
  </r>
  <r>
    <x v="14"/>
    <x v="17"/>
  </r>
  <r>
    <x v="16"/>
    <x v="321"/>
  </r>
  <r>
    <x v="19"/>
    <x v="279"/>
  </r>
  <r>
    <x v="25"/>
    <x v="177"/>
  </r>
  <r>
    <x v="26"/>
    <x v="80"/>
  </r>
  <r>
    <x v="27"/>
    <x v="304"/>
  </r>
  <r>
    <x v="29"/>
    <x v="45"/>
  </r>
  <r>
    <x v="31"/>
    <x v="252"/>
  </r>
  <r>
    <x v="32"/>
    <x v="133"/>
  </r>
  <r>
    <x v="34"/>
    <x v="20"/>
  </r>
  <r>
    <x v="43"/>
    <x v="11"/>
  </r>
  <r>
    <x v="45"/>
    <x v="209"/>
  </r>
  <r>
    <x v="49"/>
    <x v="311"/>
  </r>
  <r>
    <x v="51"/>
    <x v="143"/>
  </r>
  <r>
    <x v="52"/>
    <x v="22"/>
  </r>
  <r>
    <x v="53"/>
    <x v="86"/>
  </r>
  <r>
    <x v="54"/>
    <x v="321"/>
  </r>
  <r>
    <x v="55"/>
    <x v="322"/>
  </r>
  <r>
    <x v="56"/>
    <x v="255"/>
  </r>
  <r>
    <x v="57"/>
    <x v="132"/>
  </r>
  <r>
    <x v="62"/>
    <x v="115"/>
  </r>
  <r>
    <x v="64"/>
    <x v="206"/>
  </r>
  <r>
    <x v="65"/>
    <x v="303"/>
  </r>
  <r>
    <x v="67"/>
    <x v="105"/>
  </r>
  <r>
    <x v="72"/>
    <x v="85"/>
  </r>
  <r>
    <x v="73"/>
    <x v="212"/>
  </r>
  <r>
    <x v="74"/>
    <x v="158"/>
  </r>
  <r>
    <x v="76"/>
    <x v="150"/>
  </r>
  <r>
    <x v="77"/>
    <x v="228"/>
  </r>
  <r>
    <x v="78"/>
    <x v="125"/>
  </r>
  <r>
    <x v="80"/>
    <x v="230"/>
  </r>
  <r>
    <x v="81"/>
    <x v="132"/>
  </r>
  <r>
    <x v="83"/>
    <x v="263"/>
  </r>
  <r>
    <x v="85"/>
    <x v="98"/>
  </r>
  <r>
    <x v="88"/>
    <x v="203"/>
  </r>
  <r>
    <x v="89"/>
    <x v="125"/>
  </r>
  <r>
    <x v="92"/>
    <x v="323"/>
  </r>
  <r>
    <x v="93"/>
    <x v="324"/>
  </r>
  <r>
    <x v="94"/>
    <x v="117"/>
  </r>
  <r>
    <x v="95"/>
    <x v="324"/>
  </r>
  <r>
    <x v="97"/>
    <x v="141"/>
  </r>
  <r>
    <x v="101"/>
    <x v="225"/>
  </r>
  <r>
    <x v="102"/>
    <x v="180"/>
  </r>
  <r>
    <x v="105"/>
    <x v="110"/>
  </r>
  <r>
    <x v="106"/>
    <x v="302"/>
  </r>
  <r>
    <x v="107"/>
    <x v="225"/>
  </r>
  <r>
    <x v="108"/>
    <x v="325"/>
  </r>
  <r>
    <x v="111"/>
    <x v="32"/>
  </r>
  <r>
    <x v="112"/>
    <x v="27"/>
  </r>
  <r>
    <x v="113"/>
    <x v="193"/>
  </r>
  <r>
    <x v="118"/>
    <x v="3"/>
  </r>
  <r>
    <x v="119"/>
    <x v="316"/>
  </r>
  <r>
    <x v="121"/>
    <x v="181"/>
  </r>
  <r>
    <x v="122"/>
    <x v="134"/>
  </r>
  <r>
    <x v="126"/>
    <x v="197"/>
  </r>
  <r>
    <x v="128"/>
    <x v="196"/>
  </r>
  <r>
    <x v="129"/>
    <x v="326"/>
  </r>
  <r>
    <x v="130"/>
    <x v="327"/>
  </r>
  <r>
    <x v="134"/>
    <x v="169"/>
  </r>
  <r>
    <x v="136"/>
    <x v="81"/>
  </r>
  <r>
    <x v="137"/>
    <x v="328"/>
  </r>
  <r>
    <x v="140"/>
    <x v="61"/>
  </r>
  <r>
    <x v="148"/>
    <x v="105"/>
  </r>
  <r>
    <x v="149"/>
    <x v="303"/>
  </r>
  <r>
    <x v="153"/>
    <x v="191"/>
  </r>
  <r>
    <x v="154"/>
    <x v="238"/>
  </r>
  <r>
    <x v="155"/>
    <x v="261"/>
  </r>
  <r>
    <x v="156"/>
    <x v="133"/>
  </r>
  <r>
    <x v="157"/>
    <x v="70"/>
  </r>
  <r>
    <x v="158"/>
    <x v="134"/>
  </r>
  <r>
    <x v="159"/>
    <x v="329"/>
  </r>
  <r>
    <x v="160"/>
    <x v="44"/>
  </r>
  <r>
    <x v="161"/>
    <x v="330"/>
  </r>
  <r>
    <x v="162"/>
    <x v="144"/>
  </r>
  <r>
    <x v="166"/>
    <x v="68"/>
  </r>
  <r>
    <x v="168"/>
    <x v="285"/>
  </r>
  <r>
    <x v="169"/>
    <x v="45"/>
  </r>
  <r>
    <x v="171"/>
    <x v="247"/>
  </r>
  <r>
    <x v="172"/>
    <x v="331"/>
  </r>
  <r>
    <x v="173"/>
    <x v="90"/>
  </r>
  <r>
    <x v="175"/>
    <x v="270"/>
  </r>
  <r>
    <x v="176"/>
    <x v="177"/>
  </r>
  <r>
    <x v="177"/>
    <x v="24"/>
  </r>
  <r>
    <x v="179"/>
    <x v="263"/>
  </r>
  <r>
    <x v="180"/>
    <x v="332"/>
  </r>
  <r>
    <x v="181"/>
    <x v="180"/>
  </r>
  <r>
    <x v="185"/>
    <x v="316"/>
  </r>
  <r>
    <x v="186"/>
    <x v="141"/>
  </r>
  <r>
    <x v="187"/>
    <x v="132"/>
  </r>
  <r>
    <x v="192"/>
    <x v="105"/>
  </r>
  <r>
    <x v="193"/>
    <x v="282"/>
  </r>
  <r>
    <x v="194"/>
    <x v="115"/>
  </r>
  <r>
    <x v="197"/>
    <x v="240"/>
  </r>
  <r>
    <x v="199"/>
    <x v="27"/>
  </r>
  <r>
    <x v="201"/>
    <x v="317"/>
  </r>
  <r>
    <x v="202"/>
    <x v="316"/>
  </r>
  <r>
    <x v="203"/>
    <x v="53"/>
  </r>
  <r>
    <x v="205"/>
    <x v="61"/>
  </r>
  <r>
    <x v="208"/>
    <x v="66"/>
  </r>
  <r>
    <x v="213"/>
    <x v="311"/>
  </r>
  <r>
    <x v="216"/>
    <x v="23"/>
  </r>
  <r>
    <x v="220"/>
    <x v="181"/>
  </r>
  <r>
    <x v="222"/>
    <x v="328"/>
  </r>
  <r>
    <x v="223"/>
    <x v="264"/>
  </r>
  <r>
    <x v="227"/>
    <x v="84"/>
  </r>
  <r>
    <x v="229"/>
    <x v="318"/>
  </r>
  <r>
    <x v="232"/>
    <x v="302"/>
  </r>
  <r>
    <x v="234"/>
    <x v="92"/>
  </r>
  <r>
    <x v="235"/>
    <x v="296"/>
  </r>
  <r>
    <x v="236"/>
    <x v="60"/>
  </r>
  <r>
    <x v="237"/>
    <x v="212"/>
  </r>
  <r>
    <x v="238"/>
    <x v="27"/>
  </r>
  <r>
    <x v="245"/>
    <x v="289"/>
  </r>
  <r>
    <x v="246"/>
    <x v="117"/>
  </r>
  <r>
    <x v="249"/>
    <x v="304"/>
  </r>
  <r>
    <x v="250"/>
    <x v="299"/>
  </r>
  <r>
    <x v="253"/>
    <x v="303"/>
  </r>
  <r>
    <x v="254"/>
    <x v="197"/>
  </r>
  <r>
    <x v="257"/>
    <x v="196"/>
  </r>
  <r>
    <x v="260"/>
    <x v="110"/>
  </r>
  <r>
    <x v="263"/>
    <x v="53"/>
  </r>
  <r>
    <x v="272"/>
    <x v="59"/>
  </r>
  <r>
    <x v="273"/>
    <x v="333"/>
  </r>
  <r>
    <x v="274"/>
    <x v="203"/>
  </r>
  <r>
    <x v="275"/>
    <x v="102"/>
  </r>
  <r>
    <x v="285"/>
    <x v="151"/>
  </r>
  <r>
    <x v="286"/>
    <x v="238"/>
  </r>
  <r>
    <x v="288"/>
    <x v="142"/>
  </r>
  <r>
    <x v="292"/>
    <x v="98"/>
  </r>
  <r>
    <x v="294"/>
    <x v="262"/>
  </r>
  <r>
    <x v="295"/>
    <x v="3"/>
  </r>
  <r>
    <x v="298"/>
    <x v="102"/>
  </r>
  <r>
    <x v="299"/>
    <x v="101"/>
  </r>
  <r>
    <x v="300"/>
    <x v="13"/>
  </r>
  <r>
    <x v="301"/>
    <x v="258"/>
  </r>
  <r>
    <x v="304"/>
    <x v="216"/>
  </r>
  <r>
    <x v="305"/>
    <x v="114"/>
  </r>
  <r>
    <x v="309"/>
    <x v="334"/>
  </r>
  <r>
    <x v="311"/>
    <x v="306"/>
  </r>
  <r>
    <x v="312"/>
    <x v="176"/>
  </r>
  <r>
    <x v="313"/>
    <x v="286"/>
  </r>
  <r>
    <x v="314"/>
    <x v="335"/>
  </r>
  <r>
    <x v="320"/>
    <x v="299"/>
  </r>
  <r>
    <x v="321"/>
    <x v="58"/>
  </r>
  <r>
    <x v="322"/>
    <x v="162"/>
  </r>
  <r>
    <x v="325"/>
    <x v="166"/>
  </r>
  <r>
    <x v="329"/>
    <x v="116"/>
  </r>
  <r>
    <x v="331"/>
    <x v="261"/>
  </r>
  <r>
    <x v="333"/>
    <x v="98"/>
  </r>
  <r>
    <x v="334"/>
    <x v="329"/>
  </r>
  <r>
    <x v="335"/>
    <x v="119"/>
  </r>
  <r>
    <x v="338"/>
    <x v="261"/>
  </r>
  <r>
    <x v="341"/>
    <x v="8"/>
  </r>
  <r>
    <x v="343"/>
    <x v="331"/>
  </r>
  <r>
    <x v="346"/>
    <x v="164"/>
  </r>
  <r>
    <x v="347"/>
    <x v="60"/>
  </r>
  <r>
    <x v="348"/>
    <x v="194"/>
  </r>
  <r>
    <x v="349"/>
    <x v="130"/>
  </r>
  <r>
    <x v="353"/>
    <x v="137"/>
  </r>
  <r>
    <x v="354"/>
    <x v="288"/>
  </r>
  <r>
    <x v="357"/>
    <x v="110"/>
  </r>
  <r>
    <x v="358"/>
    <x v="145"/>
  </r>
  <r>
    <x v="359"/>
    <x v="119"/>
  </r>
  <r>
    <x v="360"/>
    <x v="176"/>
  </r>
  <r>
    <x v="361"/>
    <x v="265"/>
  </r>
  <r>
    <x v="363"/>
    <x v="36"/>
  </r>
  <r>
    <x v="366"/>
    <x v="122"/>
  </r>
  <r>
    <x v="367"/>
    <x v="336"/>
  </r>
  <r>
    <x v="370"/>
    <x v="337"/>
  </r>
  <r>
    <x v="371"/>
    <x v="108"/>
  </r>
  <r>
    <x v="382"/>
    <x v="13"/>
  </r>
  <r>
    <x v="384"/>
    <x v="116"/>
  </r>
  <r>
    <x v="385"/>
    <x v="248"/>
  </r>
  <r>
    <x v="386"/>
    <x v="107"/>
  </r>
  <r>
    <x v="387"/>
    <x v="0"/>
  </r>
  <r>
    <x v="388"/>
    <x v="134"/>
  </r>
  <r>
    <x v="390"/>
    <x v="196"/>
  </r>
  <r>
    <x v="393"/>
    <x v="318"/>
  </r>
  <r>
    <x v="395"/>
    <x v="165"/>
  </r>
  <r>
    <x v="399"/>
    <x v="0"/>
  </r>
  <r>
    <x v="400"/>
    <x v="97"/>
  </r>
  <r>
    <x v="401"/>
    <x v="161"/>
  </r>
  <r>
    <x v="402"/>
    <x v="48"/>
  </r>
  <r>
    <x v="403"/>
    <x v="298"/>
  </r>
  <r>
    <x v="405"/>
    <x v="154"/>
  </r>
  <r>
    <x v="407"/>
    <x v="154"/>
  </r>
  <r>
    <x v="413"/>
    <x v="283"/>
  </r>
  <r>
    <x v="415"/>
    <x v="309"/>
  </r>
  <r>
    <x v="416"/>
    <x v="228"/>
  </r>
  <r>
    <x v="417"/>
    <x v="165"/>
  </r>
  <r>
    <x v="419"/>
    <x v="95"/>
  </r>
  <r>
    <x v="420"/>
    <x v="97"/>
  </r>
  <r>
    <x v="421"/>
    <x v="318"/>
  </r>
  <r>
    <x v="422"/>
    <x v="220"/>
  </r>
  <r>
    <x v="423"/>
    <x v="204"/>
  </r>
  <r>
    <x v="426"/>
    <x v="132"/>
  </r>
  <r>
    <x v="427"/>
    <x v="300"/>
  </r>
  <r>
    <x v="429"/>
    <x v="60"/>
  </r>
  <r>
    <x v="430"/>
    <x v="96"/>
  </r>
  <r>
    <x v="431"/>
    <x v="110"/>
  </r>
  <r>
    <x v="434"/>
    <x v="120"/>
  </r>
  <r>
    <x v="435"/>
    <x v="163"/>
  </r>
  <r>
    <x v="436"/>
    <x v="72"/>
  </r>
  <r>
    <x v="437"/>
    <x v="261"/>
  </r>
  <r>
    <x v="440"/>
    <x v="261"/>
  </r>
  <r>
    <x v="441"/>
    <x v="77"/>
  </r>
  <r>
    <x v="443"/>
    <x v="338"/>
  </r>
  <r>
    <x v="444"/>
    <x v="274"/>
  </r>
  <r>
    <x v="445"/>
    <x v="79"/>
  </r>
  <r>
    <x v="446"/>
    <x v="154"/>
  </r>
  <r>
    <x v="447"/>
    <x v="339"/>
  </r>
  <r>
    <x v="448"/>
    <x v="340"/>
  </r>
  <r>
    <x v="449"/>
    <x v="297"/>
  </r>
  <r>
    <x v="452"/>
    <x v="112"/>
  </r>
  <r>
    <x v="456"/>
    <x v="298"/>
  </r>
  <r>
    <x v="457"/>
    <x v="88"/>
  </r>
  <r>
    <x v="458"/>
    <x v="253"/>
  </r>
  <r>
    <x v="460"/>
    <x v="307"/>
  </r>
  <r>
    <x v="461"/>
    <x v="244"/>
  </r>
  <r>
    <x v="463"/>
    <x v="183"/>
  </r>
  <r>
    <x v="464"/>
    <x v="158"/>
  </r>
  <r>
    <x v="467"/>
    <x v="59"/>
  </r>
  <r>
    <x v="468"/>
    <x v="291"/>
  </r>
  <r>
    <x v="470"/>
    <x v="327"/>
  </r>
  <r>
    <x v="473"/>
    <x v="66"/>
  </r>
  <r>
    <x v="474"/>
    <x v="3"/>
  </r>
  <r>
    <x v="476"/>
    <x v="191"/>
  </r>
  <r>
    <x v="478"/>
    <x v="341"/>
  </r>
  <r>
    <x v="479"/>
    <x v="2"/>
  </r>
  <r>
    <x v="481"/>
    <x v="160"/>
  </r>
  <r>
    <x v="482"/>
    <x v="301"/>
  </r>
  <r>
    <x v="483"/>
    <x v="120"/>
  </r>
  <r>
    <x v="484"/>
    <x v="189"/>
  </r>
  <r>
    <x v="485"/>
    <x v="189"/>
  </r>
  <r>
    <x v="486"/>
    <x v="61"/>
  </r>
  <r>
    <x v="487"/>
    <x v="342"/>
  </r>
  <r>
    <x v="488"/>
    <x v="123"/>
  </r>
  <r>
    <x v="489"/>
    <x v="126"/>
  </r>
  <r>
    <x v="493"/>
    <x v="1"/>
  </r>
  <r>
    <x v="496"/>
    <x v="59"/>
  </r>
  <r>
    <x v="497"/>
    <x v="312"/>
  </r>
  <r>
    <x v="498"/>
    <x v="83"/>
  </r>
  <r>
    <x v="499"/>
    <x v="260"/>
  </r>
  <r>
    <x v="501"/>
    <x v="240"/>
  </r>
  <r>
    <x v="505"/>
    <x v="317"/>
  </r>
  <r>
    <x v="506"/>
    <x v="205"/>
  </r>
  <r>
    <x v="510"/>
    <x v="272"/>
  </r>
  <r>
    <x v="513"/>
    <x v="277"/>
  </r>
  <r>
    <x v="517"/>
    <x v="343"/>
  </r>
  <r>
    <x v="519"/>
    <x v="294"/>
  </r>
  <r>
    <x v="527"/>
    <x v="158"/>
  </r>
  <r>
    <x v="528"/>
    <x v="322"/>
  </r>
  <r>
    <x v="529"/>
    <x v="70"/>
  </r>
  <r>
    <x v="530"/>
    <x v="316"/>
  </r>
  <r>
    <x v="531"/>
    <x v="288"/>
  </r>
  <r>
    <x v="532"/>
    <x v="111"/>
  </r>
  <r>
    <x v="534"/>
    <x v="22"/>
  </r>
  <r>
    <x v="537"/>
    <x v="288"/>
  </r>
  <r>
    <x v="538"/>
    <x v="308"/>
  </r>
  <r>
    <x v="540"/>
    <x v="299"/>
  </r>
  <r>
    <x v="541"/>
    <x v="339"/>
  </r>
  <r>
    <x v="546"/>
    <x v="331"/>
  </r>
  <r>
    <x v="548"/>
    <x v="76"/>
  </r>
  <r>
    <x v="549"/>
    <x v="142"/>
  </r>
  <r>
    <x v="551"/>
    <x v="333"/>
  </r>
  <r>
    <x v="552"/>
    <x v="142"/>
  </r>
  <r>
    <x v="553"/>
    <x v="344"/>
  </r>
  <r>
    <x v="554"/>
    <x v="215"/>
  </r>
  <r>
    <x v="557"/>
    <x v="247"/>
  </r>
  <r>
    <x v="558"/>
    <x v="238"/>
  </r>
  <r>
    <x v="561"/>
    <x v="297"/>
  </r>
  <r>
    <x v="563"/>
    <x v="275"/>
  </r>
  <r>
    <x v="564"/>
    <x v="161"/>
  </r>
  <r>
    <x v="567"/>
    <x v="335"/>
  </r>
  <r>
    <x v="569"/>
    <x v="231"/>
  </r>
  <r>
    <x v="570"/>
    <x v="73"/>
  </r>
  <r>
    <x v="571"/>
    <x v="292"/>
  </r>
  <r>
    <x v="575"/>
    <x v="106"/>
  </r>
  <r>
    <x v="579"/>
    <x v="236"/>
  </r>
  <r>
    <x v="582"/>
    <x v="267"/>
  </r>
  <r>
    <x v="584"/>
    <x v="311"/>
  </r>
  <r>
    <x v="586"/>
    <x v="52"/>
  </r>
  <r>
    <x v="588"/>
    <x v="149"/>
  </r>
  <r>
    <x v="589"/>
    <x v="71"/>
  </r>
  <r>
    <x v="592"/>
    <x v="59"/>
  </r>
  <r>
    <x v="598"/>
    <x v="268"/>
  </r>
  <r>
    <x v="602"/>
    <x v="152"/>
  </r>
  <r>
    <x v="605"/>
    <x v="104"/>
  </r>
  <r>
    <x v="608"/>
    <x v="47"/>
  </r>
  <r>
    <x v="610"/>
    <x v="76"/>
  </r>
  <r>
    <x v="613"/>
    <x v="307"/>
  </r>
  <r>
    <x v="614"/>
    <x v="273"/>
  </r>
  <r>
    <x v="616"/>
    <x v="281"/>
  </r>
  <r>
    <x v="619"/>
    <x v="30"/>
  </r>
  <r>
    <x v="622"/>
    <x v="120"/>
  </r>
  <r>
    <x v="624"/>
    <x v="311"/>
  </r>
  <r>
    <x v="626"/>
    <x v="345"/>
  </r>
  <r>
    <x v="627"/>
    <x v="257"/>
  </r>
  <r>
    <x v="629"/>
    <x v="300"/>
  </r>
  <r>
    <x v="631"/>
    <x v="19"/>
  </r>
  <r>
    <x v="633"/>
    <x v="189"/>
  </r>
  <r>
    <x v="635"/>
    <x v="317"/>
  </r>
  <r>
    <x v="640"/>
    <x v="245"/>
  </r>
  <r>
    <x v="644"/>
    <x v="213"/>
  </r>
  <r>
    <x v="645"/>
    <x v="236"/>
  </r>
  <r>
    <x v="646"/>
    <x v="109"/>
  </r>
  <r>
    <x v="647"/>
    <x v="34"/>
  </r>
  <r>
    <x v="648"/>
    <x v="346"/>
  </r>
  <r>
    <x v="649"/>
    <x v="254"/>
  </r>
  <r>
    <x v="651"/>
    <x v="248"/>
  </r>
  <r>
    <x v="653"/>
    <x v="141"/>
  </r>
  <r>
    <x v="657"/>
    <x v="115"/>
  </r>
  <r>
    <x v="663"/>
    <x v="120"/>
  </r>
  <r>
    <x v="665"/>
    <x v="333"/>
  </r>
  <r>
    <x v="666"/>
    <x v="226"/>
  </r>
  <r>
    <x v="667"/>
    <x v="48"/>
  </r>
  <r>
    <x v="669"/>
    <x v="81"/>
  </r>
  <r>
    <x v="670"/>
    <x v="312"/>
  </r>
  <r>
    <x v="672"/>
    <x v="303"/>
  </r>
  <r>
    <x v="674"/>
    <x v="339"/>
  </r>
  <r>
    <x v="675"/>
    <x v="25"/>
  </r>
  <r>
    <x v="676"/>
    <x v="13"/>
  </r>
  <r>
    <x v="679"/>
    <x v="67"/>
  </r>
  <r>
    <x v="680"/>
    <x v="180"/>
  </r>
  <r>
    <x v="685"/>
    <x v="206"/>
  </r>
  <r>
    <x v="686"/>
    <x v="318"/>
  </r>
  <r>
    <x v="687"/>
    <x v="96"/>
  </r>
  <r>
    <x v="688"/>
    <x v="3"/>
  </r>
  <r>
    <x v="690"/>
    <x v="298"/>
  </r>
  <r>
    <x v="691"/>
    <x v="27"/>
  </r>
  <r>
    <x v="693"/>
    <x v="181"/>
  </r>
  <r>
    <x v="694"/>
    <x v="192"/>
  </r>
  <r>
    <x v="696"/>
    <x v="196"/>
  </r>
  <r>
    <x v="700"/>
    <x v="279"/>
  </r>
  <r>
    <x v="702"/>
    <x v="52"/>
  </r>
  <r>
    <x v="706"/>
    <x v="322"/>
  </r>
  <r>
    <x v="707"/>
    <x v="82"/>
  </r>
  <r>
    <x v="711"/>
    <x v="347"/>
  </r>
  <r>
    <x v="0"/>
    <x v="338"/>
  </r>
  <r>
    <x v="1"/>
    <x v="348"/>
  </r>
  <r>
    <x v="4"/>
    <x v="107"/>
  </r>
  <r>
    <x v="7"/>
    <x v="282"/>
  </r>
  <r>
    <x v="10"/>
    <x v="349"/>
  </r>
  <r>
    <x v="25"/>
    <x v="312"/>
  </r>
  <r>
    <x v="29"/>
    <x v="275"/>
  </r>
  <r>
    <x v="31"/>
    <x v="58"/>
  </r>
  <r>
    <x v="32"/>
    <x v="123"/>
  </r>
  <r>
    <x v="45"/>
    <x v="297"/>
  </r>
  <r>
    <x v="49"/>
    <x v="350"/>
  </r>
  <r>
    <x v="51"/>
    <x v="64"/>
  </r>
  <r>
    <x v="52"/>
    <x v="81"/>
  </r>
  <r>
    <x v="53"/>
    <x v="174"/>
  </r>
  <r>
    <x v="54"/>
    <x v="207"/>
  </r>
  <r>
    <x v="55"/>
    <x v="184"/>
  </r>
  <r>
    <x v="56"/>
    <x v="315"/>
  </r>
  <r>
    <x v="57"/>
    <x v="290"/>
  </r>
  <r>
    <x v="62"/>
    <x v="69"/>
  </r>
  <r>
    <x v="64"/>
    <x v="8"/>
  </r>
  <r>
    <x v="65"/>
    <x v="340"/>
  </r>
  <r>
    <x v="67"/>
    <x v="34"/>
  </r>
  <r>
    <x v="76"/>
    <x v="166"/>
  </r>
  <r>
    <x v="77"/>
    <x v="265"/>
  </r>
  <r>
    <x v="78"/>
    <x v="124"/>
  </r>
  <r>
    <x v="80"/>
    <x v="76"/>
  </r>
  <r>
    <x v="81"/>
    <x v="290"/>
  </r>
  <r>
    <x v="85"/>
    <x v="36"/>
  </r>
  <r>
    <x v="89"/>
    <x v="124"/>
  </r>
  <r>
    <x v="92"/>
    <x v="351"/>
  </r>
  <r>
    <x v="93"/>
    <x v="131"/>
  </r>
  <r>
    <x v="102"/>
    <x v="294"/>
  </r>
  <r>
    <x v="105"/>
    <x v="288"/>
  </r>
  <r>
    <x v="106"/>
    <x v="339"/>
  </r>
  <r>
    <x v="107"/>
    <x v="154"/>
  </r>
  <r>
    <x v="108"/>
    <x v="352"/>
  </r>
  <r>
    <x v="111"/>
    <x v="240"/>
  </r>
  <r>
    <x v="112"/>
    <x v="236"/>
  </r>
  <r>
    <x v="113"/>
    <x v="66"/>
  </r>
  <r>
    <x v="118"/>
    <x v="99"/>
  </r>
  <r>
    <x v="119"/>
    <x v="257"/>
  </r>
  <r>
    <x v="121"/>
    <x v="28"/>
  </r>
  <r>
    <x v="122"/>
    <x v="291"/>
  </r>
  <r>
    <x v="126"/>
    <x v="295"/>
  </r>
  <r>
    <x v="128"/>
    <x v="310"/>
  </r>
  <r>
    <x v="129"/>
    <x v="353"/>
  </r>
  <r>
    <x v="137"/>
    <x v="354"/>
  </r>
  <r>
    <x v="140"/>
    <x v="210"/>
  </r>
  <r>
    <x v="148"/>
    <x v="34"/>
  </r>
  <r>
    <x v="154"/>
    <x v="175"/>
  </r>
  <r>
    <x v="157"/>
    <x v="247"/>
  </r>
  <r>
    <x v="158"/>
    <x v="291"/>
  </r>
  <r>
    <x v="159"/>
    <x v="355"/>
  </r>
  <r>
    <x v="161"/>
    <x v="356"/>
  </r>
  <r>
    <x v="162"/>
    <x v="44"/>
  </r>
  <r>
    <x v="168"/>
    <x v="326"/>
  </r>
  <r>
    <x v="169"/>
    <x v="275"/>
  </r>
  <r>
    <x v="172"/>
    <x v="357"/>
  </r>
  <r>
    <x v="176"/>
    <x v="312"/>
  </r>
  <r>
    <x v="177"/>
    <x v="33"/>
  </r>
  <r>
    <x v="181"/>
    <x v="294"/>
  </r>
  <r>
    <x v="185"/>
    <x v="257"/>
  </r>
  <r>
    <x v="186"/>
    <x v="308"/>
  </r>
  <r>
    <x v="192"/>
    <x v="34"/>
  </r>
  <r>
    <x v="194"/>
    <x v="69"/>
  </r>
  <r>
    <x v="197"/>
    <x v="133"/>
  </r>
  <r>
    <x v="202"/>
    <x v="257"/>
  </r>
  <r>
    <x v="203"/>
    <x v="277"/>
  </r>
  <r>
    <x v="205"/>
    <x v="210"/>
  </r>
  <r>
    <x v="213"/>
    <x v="350"/>
  </r>
  <r>
    <x v="216"/>
    <x v="215"/>
  </r>
  <r>
    <x v="222"/>
    <x v="354"/>
  </r>
  <r>
    <x v="223"/>
    <x v="90"/>
  </r>
  <r>
    <x v="229"/>
    <x v="347"/>
  </r>
  <r>
    <x v="235"/>
    <x v="122"/>
  </r>
  <r>
    <x v="238"/>
    <x v="236"/>
  </r>
  <r>
    <x v="245"/>
    <x v="329"/>
  </r>
  <r>
    <x v="249"/>
    <x v="341"/>
  </r>
  <r>
    <x v="250"/>
    <x v="149"/>
  </r>
  <r>
    <x v="253"/>
    <x v="340"/>
  </r>
  <r>
    <x v="254"/>
    <x v="295"/>
  </r>
  <r>
    <x v="275"/>
    <x v="228"/>
  </r>
  <r>
    <x v="292"/>
    <x v="36"/>
  </r>
  <r>
    <x v="294"/>
    <x v="7"/>
  </r>
  <r>
    <x v="295"/>
    <x v="99"/>
  </r>
  <r>
    <x v="299"/>
    <x v="285"/>
  </r>
  <r>
    <x v="300"/>
    <x v="244"/>
  </r>
  <r>
    <x v="301"/>
    <x v="191"/>
  </r>
  <r>
    <x v="304"/>
    <x v="197"/>
  </r>
  <r>
    <x v="305"/>
    <x v="264"/>
  </r>
  <r>
    <x v="314"/>
    <x v="358"/>
  </r>
  <r>
    <x v="321"/>
    <x v="152"/>
  </r>
  <r>
    <x v="329"/>
    <x v="306"/>
  </r>
  <r>
    <x v="333"/>
    <x v="36"/>
  </r>
  <r>
    <x v="334"/>
    <x v="355"/>
  </r>
  <r>
    <x v="335"/>
    <x v="258"/>
  </r>
  <r>
    <x v="343"/>
    <x v="357"/>
  </r>
  <r>
    <x v="346"/>
    <x v="212"/>
  </r>
  <r>
    <x v="349"/>
    <x v="84"/>
  </r>
  <r>
    <x v="353"/>
    <x v="0"/>
  </r>
  <r>
    <x v="354"/>
    <x v="61"/>
  </r>
  <r>
    <x v="357"/>
    <x v="288"/>
  </r>
  <r>
    <x v="360"/>
    <x v="177"/>
  </r>
  <r>
    <x v="363"/>
    <x v="136"/>
  </r>
  <r>
    <x v="367"/>
    <x v="359"/>
  </r>
  <r>
    <x v="382"/>
    <x v="244"/>
  </r>
  <r>
    <x v="384"/>
    <x v="306"/>
  </r>
  <r>
    <x v="385"/>
    <x v="27"/>
  </r>
  <r>
    <x v="386"/>
    <x v="22"/>
  </r>
  <r>
    <x v="387"/>
    <x v="226"/>
  </r>
  <r>
    <x v="388"/>
    <x v="291"/>
  </r>
  <r>
    <x v="393"/>
    <x v="347"/>
  </r>
  <r>
    <x v="395"/>
    <x v="82"/>
  </r>
  <r>
    <x v="400"/>
    <x v="216"/>
  </r>
  <r>
    <x v="401"/>
    <x v="47"/>
  </r>
  <r>
    <x v="402"/>
    <x v="107"/>
  </r>
  <r>
    <x v="405"/>
    <x v="268"/>
  </r>
  <r>
    <x v="413"/>
    <x v="325"/>
  </r>
  <r>
    <x v="415"/>
    <x v="254"/>
  </r>
  <r>
    <x v="416"/>
    <x v="265"/>
  </r>
  <r>
    <x v="417"/>
    <x v="82"/>
  </r>
  <r>
    <x v="419"/>
    <x v="235"/>
  </r>
  <r>
    <x v="420"/>
    <x v="216"/>
  </r>
  <r>
    <x v="421"/>
    <x v="347"/>
  </r>
  <r>
    <x v="422"/>
    <x v="87"/>
  </r>
  <r>
    <x v="423"/>
    <x v="110"/>
  </r>
  <r>
    <x v="426"/>
    <x v="290"/>
  </r>
  <r>
    <x v="427"/>
    <x v="26"/>
  </r>
  <r>
    <x v="434"/>
    <x v="128"/>
  </r>
  <r>
    <x v="435"/>
    <x v="21"/>
  </r>
  <r>
    <x v="436"/>
    <x v="45"/>
  </r>
  <r>
    <x v="437"/>
    <x v="105"/>
  </r>
  <r>
    <x v="440"/>
    <x v="105"/>
  </r>
  <r>
    <x v="443"/>
    <x v="360"/>
  </r>
  <r>
    <x v="444"/>
    <x v="322"/>
  </r>
  <r>
    <x v="447"/>
    <x v="361"/>
  </r>
  <r>
    <x v="456"/>
    <x v="108"/>
  </r>
  <r>
    <x v="457"/>
    <x v="284"/>
  </r>
  <r>
    <x v="458"/>
    <x v="181"/>
  </r>
  <r>
    <x v="460"/>
    <x v="1"/>
  </r>
  <r>
    <x v="461"/>
    <x v="221"/>
  </r>
  <r>
    <x v="463"/>
    <x v="119"/>
  </r>
  <r>
    <x v="464"/>
    <x v="17"/>
  </r>
  <r>
    <x v="473"/>
    <x v="280"/>
  </r>
  <r>
    <x v="474"/>
    <x v="99"/>
  </r>
  <r>
    <x v="476"/>
    <x v="78"/>
  </r>
  <r>
    <x v="478"/>
    <x v="362"/>
  </r>
  <r>
    <x v="481"/>
    <x v="13"/>
  </r>
  <r>
    <x v="482"/>
    <x v="338"/>
  </r>
  <r>
    <x v="483"/>
    <x v="128"/>
  </r>
  <r>
    <x v="485"/>
    <x v="218"/>
  </r>
  <r>
    <x v="486"/>
    <x v="210"/>
  </r>
  <r>
    <x v="487"/>
    <x v="363"/>
  </r>
  <r>
    <x v="488"/>
    <x v="289"/>
  </r>
  <r>
    <x v="489"/>
    <x v="109"/>
  </r>
  <r>
    <x v="493"/>
    <x v="269"/>
  </r>
  <r>
    <x v="498"/>
    <x v="3"/>
  </r>
  <r>
    <x v="499"/>
    <x v="196"/>
  </r>
  <r>
    <x v="501"/>
    <x v="133"/>
  </r>
  <r>
    <x v="505"/>
    <x v="346"/>
  </r>
  <r>
    <x v="506"/>
    <x v="141"/>
  </r>
  <r>
    <x v="510"/>
    <x v="331"/>
  </r>
  <r>
    <x v="513"/>
    <x v="330"/>
  </r>
  <r>
    <x v="527"/>
    <x v="17"/>
  </r>
  <r>
    <x v="528"/>
    <x v="184"/>
  </r>
  <r>
    <x v="529"/>
    <x v="247"/>
  </r>
  <r>
    <x v="531"/>
    <x v="61"/>
  </r>
  <r>
    <x v="532"/>
    <x v="86"/>
  </r>
  <r>
    <x v="534"/>
    <x v="81"/>
  </r>
  <r>
    <x v="537"/>
    <x v="61"/>
  </r>
  <r>
    <x v="540"/>
    <x v="149"/>
  </r>
  <r>
    <x v="546"/>
    <x v="357"/>
  </r>
  <r>
    <x v="548"/>
    <x v="112"/>
  </r>
  <r>
    <x v="549"/>
    <x v="292"/>
  </r>
  <r>
    <x v="552"/>
    <x v="292"/>
  </r>
  <r>
    <x v="554"/>
    <x v="137"/>
  </r>
  <r>
    <x v="558"/>
    <x v="175"/>
  </r>
  <r>
    <x v="561"/>
    <x v="337"/>
  </r>
  <r>
    <x v="564"/>
    <x v="47"/>
  </r>
  <r>
    <x v="567"/>
    <x v="358"/>
  </r>
  <r>
    <x v="569"/>
    <x v="263"/>
  </r>
  <r>
    <x v="570"/>
    <x v="281"/>
  </r>
  <r>
    <x v="575"/>
    <x v="296"/>
  </r>
  <r>
    <x v="579"/>
    <x v="304"/>
  </r>
  <r>
    <x v="582"/>
    <x v="165"/>
  </r>
  <r>
    <x v="586"/>
    <x v="286"/>
  </r>
  <r>
    <x v="589"/>
    <x v="209"/>
  </r>
  <r>
    <x v="598"/>
    <x v="318"/>
  </r>
  <r>
    <x v="602"/>
    <x v="150"/>
  </r>
  <r>
    <x v="608"/>
    <x v="104"/>
  </r>
  <r>
    <x v="613"/>
    <x v="1"/>
  </r>
  <r>
    <x v="616"/>
    <x v="203"/>
  </r>
  <r>
    <x v="622"/>
    <x v="128"/>
  </r>
  <r>
    <x v="626"/>
    <x v="364"/>
  </r>
  <r>
    <x v="629"/>
    <x v="26"/>
  </r>
  <r>
    <x v="631"/>
    <x v="2"/>
  </r>
  <r>
    <x v="633"/>
    <x v="218"/>
  </r>
  <r>
    <x v="640"/>
    <x v="311"/>
  </r>
  <r>
    <x v="644"/>
    <x v="39"/>
  </r>
  <r>
    <x v="645"/>
    <x v="304"/>
  </r>
  <r>
    <x v="646"/>
    <x v="161"/>
  </r>
  <r>
    <x v="651"/>
    <x v="27"/>
  </r>
  <r>
    <x v="653"/>
    <x v="308"/>
  </r>
  <r>
    <x v="663"/>
    <x v="128"/>
  </r>
  <r>
    <x v="665"/>
    <x v="365"/>
  </r>
  <r>
    <x v="669"/>
    <x v="192"/>
  </r>
  <r>
    <x v="672"/>
    <x v="340"/>
  </r>
  <r>
    <x v="674"/>
    <x v="361"/>
  </r>
  <r>
    <x v="675"/>
    <x v="176"/>
  </r>
  <r>
    <x v="676"/>
    <x v="244"/>
  </r>
  <r>
    <x v="679"/>
    <x v="29"/>
  </r>
  <r>
    <x v="685"/>
    <x v="8"/>
  </r>
  <r>
    <x v="686"/>
    <x v="347"/>
  </r>
  <r>
    <x v="687"/>
    <x v="163"/>
  </r>
  <r>
    <x v="688"/>
    <x v="99"/>
  </r>
  <r>
    <x v="690"/>
    <x v="108"/>
  </r>
  <r>
    <x v="694"/>
    <x v="225"/>
  </r>
  <r>
    <x v="696"/>
    <x v="310"/>
  </r>
  <r>
    <x v="700"/>
    <x v="171"/>
  </r>
  <r>
    <x v="702"/>
    <x v="286"/>
  </r>
  <r>
    <x v="711"/>
    <x v="366"/>
  </r>
  <r>
    <x v="0"/>
    <x v="360"/>
  </r>
  <r>
    <x v="1"/>
    <x v="367"/>
  </r>
  <r>
    <x v="7"/>
    <x v="117"/>
  </r>
  <r>
    <x v="10"/>
    <x v="368"/>
  </r>
  <r>
    <x v="29"/>
    <x v="323"/>
  </r>
  <r>
    <x v="31"/>
    <x v="152"/>
  </r>
  <r>
    <x v="32"/>
    <x v="289"/>
  </r>
  <r>
    <x v="45"/>
    <x v="337"/>
  </r>
  <r>
    <x v="49"/>
    <x v="369"/>
  </r>
  <r>
    <x v="51"/>
    <x v="317"/>
  </r>
  <r>
    <x v="52"/>
    <x v="192"/>
  </r>
  <r>
    <x v="53"/>
    <x v="302"/>
  </r>
  <r>
    <x v="55"/>
    <x v="233"/>
  </r>
  <r>
    <x v="65"/>
    <x v="200"/>
  </r>
  <r>
    <x v="85"/>
    <x v="136"/>
  </r>
  <r>
    <x v="89"/>
    <x v="144"/>
  </r>
  <r>
    <x v="92"/>
    <x v="370"/>
  </r>
  <r>
    <x v="102"/>
    <x v="371"/>
  </r>
  <r>
    <x v="105"/>
    <x v="61"/>
  </r>
  <r>
    <x v="106"/>
    <x v="361"/>
  </r>
  <r>
    <x v="108"/>
    <x v="372"/>
  </r>
  <r>
    <x v="112"/>
    <x v="304"/>
  </r>
  <r>
    <x v="113"/>
    <x v="280"/>
  </r>
  <r>
    <x v="119"/>
    <x v="237"/>
  </r>
  <r>
    <x v="122"/>
    <x v="332"/>
  </r>
  <r>
    <x v="140"/>
    <x v="298"/>
  </r>
  <r>
    <x v="157"/>
    <x v="142"/>
  </r>
  <r>
    <x v="161"/>
    <x v="373"/>
  </r>
  <r>
    <x v="162"/>
    <x v="53"/>
  </r>
  <r>
    <x v="168"/>
    <x v="353"/>
  </r>
  <r>
    <x v="176"/>
    <x v="344"/>
  </r>
  <r>
    <x v="177"/>
    <x v="32"/>
  </r>
  <r>
    <x v="181"/>
    <x v="371"/>
  </r>
  <r>
    <x v="186"/>
    <x v="343"/>
  </r>
  <r>
    <x v="192"/>
    <x v="169"/>
  </r>
  <r>
    <x v="194"/>
    <x v="231"/>
  </r>
  <r>
    <x v="205"/>
    <x v="298"/>
  </r>
  <r>
    <x v="213"/>
    <x v="369"/>
  </r>
  <r>
    <x v="222"/>
    <x v="374"/>
  </r>
  <r>
    <x v="223"/>
    <x v="375"/>
  </r>
  <r>
    <x v="235"/>
    <x v="54"/>
  </r>
  <r>
    <x v="238"/>
    <x v="304"/>
  </r>
  <r>
    <x v="245"/>
    <x v="355"/>
  </r>
  <r>
    <x v="249"/>
    <x v="362"/>
  </r>
  <r>
    <x v="250"/>
    <x v="222"/>
  </r>
  <r>
    <x v="253"/>
    <x v="200"/>
  </r>
  <r>
    <x v="254"/>
    <x v="157"/>
  </r>
  <r>
    <x v="275"/>
    <x v="265"/>
  </r>
  <r>
    <x v="294"/>
    <x v="74"/>
  </r>
  <r>
    <x v="295"/>
    <x v="151"/>
  </r>
  <r>
    <x v="299"/>
    <x v="326"/>
  </r>
  <r>
    <x v="300"/>
    <x v="221"/>
  </r>
  <r>
    <x v="304"/>
    <x v="295"/>
  </r>
  <r>
    <x v="305"/>
    <x v="90"/>
  </r>
  <r>
    <x v="314"/>
    <x v="376"/>
  </r>
  <r>
    <x v="321"/>
    <x v="150"/>
  </r>
  <r>
    <x v="329"/>
    <x v="342"/>
  </r>
  <r>
    <x v="333"/>
    <x v="136"/>
  </r>
  <r>
    <x v="335"/>
    <x v="191"/>
  </r>
  <r>
    <x v="346"/>
    <x v="299"/>
  </r>
  <r>
    <x v="353"/>
    <x v="226"/>
  </r>
  <r>
    <x v="354"/>
    <x v="210"/>
  </r>
  <r>
    <x v="360"/>
    <x v="312"/>
  </r>
  <r>
    <x v="363"/>
    <x v="182"/>
  </r>
  <r>
    <x v="367"/>
    <x v="377"/>
  </r>
  <r>
    <x v="382"/>
    <x v="221"/>
  </r>
  <r>
    <x v="384"/>
    <x v="342"/>
  </r>
  <r>
    <x v="388"/>
    <x v="332"/>
  </r>
  <r>
    <x v="393"/>
    <x v="366"/>
  </r>
  <r>
    <x v="395"/>
    <x v="75"/>
  </r>
  <r>
    <x v="401"/>
    <x v="104"/>
  </r>
  <r>
    <x v="402"/>
    <x v="22"/>
  </r>
  <r>
    <x v="405"/>
    <x v="318"/>
  </r>
  <r>
    <x v="419"/>
    <x v="134"/>
  </r>
  <r>
    <x v="422"/>
    <x v="283"/>
  </r>
  <r>
    <x v="423"/>
    <x v="288"/>
  </r>
  <r>
    <x v="426"/>
    <x v="24"/>
  </r>
  <r>
    <x v="434"/>
    <x v="238"/>
  </r>
  <r>
    <x v="435"/>
    <x v="95"/>
  </r>
  <r>
    <x v="436"/>
    <x v="275"/>
  </r>
  <r>
    <x v="437"/>
    <x v="34"/>
  </r>
  <r>
    <x v="440"/>
    <x v="34"/>
  </r>
  <r>
    <x v="447"/>
    <x v="378"/>
  </r>
  <r>
    <x v="456"/>
    <x v="287"/>
  </r>
  <r>
    <x v="458"/>
    <x v="28"/>
  </r>
  <r>
    <x v="461"/>
    <x v="313"/>
  </r>
  <r>
    <x v="463"/>
    <x v="258"/>
  </r>
  <r>
    <x v="464"/>
    <x v="272"/>
  </r>
  <r>
    <x v="473"/>
    <x v="125"/>
  </r>
  <r>
    <x v="476"/>
    <x v="205"/>
  </r>
  <r>
    <x v="478"/>
    <x v="379"/>
  </r>
  <r>
    <x v="482"/>
    <x v="360"/>
  </r>
  <r>
    <x v="485"/>
    <x v="335"/>
  </r>
  <r>
    <x v="487"/>
    <x v="380"/>
  </r>
  <r>
    <x v="489"/>
    <x v="161"/>
  </r>
  <r>
    <x v="493"/>
    <x v="319"/>
  </r>
  <r>
    <x v="499"/>
    <x v="310"/>
  </r>
  <r>
    <x v="501"/>
    <x v="123"/>
  </r>
  <r>
    <x v="505"/>
    <x v="381"/>
  </r>
  <r>
    <x v="510"/>
    <x v="357"/>
  </r>
  <r>
    <x v="513"/>
    <x v="356"/>
  </r>
  <r>
    <x v="527"/>
    <x v="272"/>
  </r>
  <r>
    <x v="529"/>
    <x v="142"/>
  </r>
  <r>
    <x v="531"/>
    <x v="210"/>
  </r>
  <r>
    <x v="532"/>
    <x v="174"/>
  </r>
  <r>
    <x v="537"/>
    <x v="210"/>
  </r>
  <r>
    <x v="540"/>
    <x v="222"/>
  </r>
  <r>
    <x v="546"/>
    <x v="382"/>
  </r>
  <r>
    <x v="548"/>
    <x v="324"/>
  </r>
  <r>
    <x v="552"/>
    <x v="334"/>
  </r>
  <r>
    <x v="564"/>
    <x v="104"/>
  </r>
  <r>
    <x v="567"/>
    <x v="376"/>
  </r>
  <r>
    <x v="569"/>
    <x v="187"/>
  </r>
  <r>
    <x v="570"/>
    <x v="203"/>
  </r>
  <r>
    <x v="575"/>
    <x v="122"/>
  </r>
  <r>
    <x v="582"/>
    <x v="82"/>
  </r>
  <r>
    <x v="589"/>
    <x v="297"/>
  </r>
  <r>
    <x v="598"/>
    <x v="347"/>
  </r>
  <r>
    <x v="602"/>
    <x v="166"/>
  </r>
  <r>
    <x v="608"/>
    <x v="143"/>
  </r>
  <r>
    <x v="613"/>
    <x v="269"/>
  </r>
  <r>
    <x v="622"/>
    <x v="238"/>
  </r>
  <r>
    <x v="626"/>
    <x v="383"/>
  </r>
  <r>
    <x v="629"/>
    <x v="251"/>
  </r>
  <r>
    <x v="631"/>
    <x v="279"/>
  </r>
  <r>
    <x v="633"/>
    <x v="335"/>
  </r>
  <r>
    <x v="640"/>
    <x v="350"/>
  </r>
  <r>
    <x v="644"/>
    <x v="248"/>
  </r>
  <r>
    <x v="645"/>
    <x v="341"/>
  </r>
  <r>
    <x v="646"/>
    <x v="47"/>
  </r>
  <r>
    <x v="653"/>
    <x v="343"/>
  </r>
  <r>
    <x v="663"/>
    <x v="238"/>
  </r>
  <r>
    <x v="665"/>
    <x v="384"/>
  </r>
  <r>
    <x v="669"/>
    <x v="225"/>
  </r>
  <r>
    <x v="672"/>
    <x v="200"/>
  </r>
  <r>
    <x v="675"/>
    <x v="177"/>
  </r>
  <r>
    <x v="679"/>
    <x v="72"/>
  </r>
  <r>
    <x v="685"/>
    <x v="18"/>
  </r>
  <r>
    <x v="688"/>
    <x v="151"/>
  </r>
  <r>
    <x v="690"/>
    <x v="287"/>
  </r>
  <r>
    <x v="694"/>
    <x v="154"/>
  </r>
  <r>
    <x v="700"/>
    <x v="293"/>
  </r>
  <r>
    <x v="702"/>
    <x v="327"/>
  </r>
  <r>
    <x v="711"/>
    <x v="385"/>
  </r>
  <r>
    <x v="1"/>
    <x v="386"/>
  </r>
  <r>
    <x v="31"/>
    <x v="150"/>
  </r>
  <r>
    <x v="32"/>
    <x v="329"/>
  </r>
  <r>
    <x v="45"/>
    <x v="387"/>
  </r>
  <r>
    <x v="49"/>
    <x v="388"/>
  </r>
  <r>
    <x v="52"/>
    <x v="225"/>
  </r>
  <r>
    <x v="65"/>
    <x v="49"/>
  </r>
  <r>
    <x v="89"/>
    <x v="44"/>
  </r>
  <r>
    <x v="102"/>
    <x v="389"/>
  </r>
  <r>
    <x v="105"/>
    <x v="210"/>
  </r>
  <r>
    <x v="106"/>
    <x v="378"/>
  </r>
  <r>
    <x v="176"/>
    <x v="390"/>
  </r>
  <r>
    <x v="181"/>
    <x v="389"/>
  </r>
  <r>
    <x v="186"/>
    <x v="391"/>
  </r>
  <r>
    <x v="194"/>
    <x v="263"/>
  </r>
  <r>
    <x v="235"/>
    <x v="70"/>
  </r>
  <r>
    <x v="249"/>
    <x v="379"/>
  </r>
  <r>
    <x v="250"/>
    <x v="91"/>
  </r>
  <r>
    <x v="275"/>
    <x v="79"/>
  </r>
  <r>
    <x v="294"/>
    <x v="77"/>
  </r>
  <r>
    <x v="300"/>
    <x v="313"/>
  </r>
  <r>
    <x v="304"/>
    <x v="157"/>
  </r>
  <r>
    <x v="305"/>
    <x v="375"/>
  </r>
  <r>
    <x v="329"/>
    <x v="363"/>
  </r>
  <r>
    <x v="353"/>
    <x v="301"/>
  </r>
  <r>
    <x v="384"/>
    <x v="363"/>
  </r>
  <r>
    <x v="393"/>
    <x v="385"/>
  </r>
  <r>
    <x v="402"/>
    <x v="81"/>
  </r>
  <r>
    <x v="405"/>
    <x v="347"/>
  </r>
  <r>
    <x v="422"/>
    <x v="325"/>
  </r>
  <r>
    <x v="423"/>
    <x v="61"/>
  </r>
  <r>
    <x v="426"/>
    <x v="33"/>
  </r>
  <r>
    <x v="447"/>
    <x v="392"/>
  </r>
  <r>
    <x v="463"/>
    <x v="191"/>
  </r>
  <r>
    <x v="464"/>
    <x v="331"/>
  </r>
  <r>
    <x v="478"/>
    <x v="393"/>
  </r>
  <r>
    <x v="485"/>
    <x v="358"/>
  </r>
  <r>
    <x v="499"/>
    <x v="213"/>
  </r>
  <r>
    <x v="513"/>
    <x v="373"/>
  </r>
  <r>
    <x v="529"/>
    <x v="292"/>
  </r>
  <r>
    <x v="531"/>
    <x v="298"/>
  </r>
  <r>
    <x v="532"/>
    <x v="302"/>
  </r>
  <r>
    <x v="537"/>
    <x v="298"/>
  </r>
  <r>
    <x v="546"/>
    <x v="394"/>
  </r>
  <r>
    <x v="548"/>
    <x v="131"/>
  </r>
  <r>
    <x v="567"/>
    <x v="395"/>
  </r>
  <r>
    <x v="575"/>
    <x v="54"/>
  </r>
  <r>
    <x v="598"/>
    <x v="366"/>
  </r>
  <r>
    <x v="602"/>
    <x v="88"/>
  </r>
  <r>
    <x v="622"/>
    <x v="175"/>
  </r>
  <r>
    <x v="640"/>
    <x v="369"/>
  </r>
  <r>
    <x v="645"/>
    <x v="362"/>
  </r>
  <r>
    <x v="663"/>
    <x v="175"/>
  </r>
  <r>
    <x v="665"/>
    <x v="396"/>
  </r>
  <r>
    <x v="690"/>
    <x v="328"/>
  </r>
  <r>
    <x v="181"/>
    <x v="397"/>
  </r>
  <r>
    <x v="305"/>
    <x v="398"/>
  </r>
  <r>
    <x v="513"/>
    <x v="399"/>
  </r>
  <r>
    <x v="531"/>
    <x v="108"/>
  </r>
  <r>
    <x v="532"/>
    <x v="339"/>
  </r>
  <r>
    <x v="546"/>
    <x v="400"/>
  </r>
  <r>
    <x v="548"/>
    <x v="10"/>
  </r>
  <r>
    <x v="665"/>
    <x v="4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3">
  <r>
    <n v="307001"/>
    <x v="0"/>
    <n v="5"/>
  </r>
  <r>
    <n v="307002"/>
    <x v="1"/>
    <n v="6"/>
  </r>
  <r>
    <n v="307006"/>
    <x v="2"/>
    <n v="1"/>
  </r>
  <r>
    <n v="307011"/>
    <x v="3"/>
    <n v="1"/>
  </r>
  <r>
    <n v="307013"/>
    <x v="4"/>
    <n v="4"/>
  </r>
  <r>
    <n v="307014"/>
    <x v="5"/>
    <n v="3"/>
  </r>
  <r>
    <n v="307019"/>
    <x v="6"/>
    <n v="2"/>
  </r>
  <r>
    <n v="307022"/>
    <x v="7"/>
    <n v="5"/>
  </r>
  <r>
    <n v="307026"/>
    <x v="8"/>
    <n v="1"/>
  </r>
  <r>
    <n v="307030"/>
    <x v="9"/>
    <n v="3"/>
  </r>
  <r>
    <n v="307031"/>
    <x v="10"/>
    <n v="5"/>
  </r>
  <r>
    <n v="307033"/>
    <x v="11"/>
    <n v="3"/>
  </r>
  <r>
    <n v="307035"/>
    <x v="12"/>
    <n v="1"/>
  </r>
  <r>
    <n v="307040"/>
    <x v="13"/>
    <n v="2"/>
  </r>
  <r>
    <n v="307044"/>
    <x v="14"/>
    <n v="3"/>
  </r>
  <r>
    <n v="307047"/>
    <x v="15"/>
    <n v="1"/>
  </r>
  <r>
    <n v="307050"/>
    <x v="16"/>
    <n v="3"/>
  </r>
  <r>
    <n v="307053"/>
    <x v="17"/>
    <n v="2"/>
  </r>
  <r>
    <n v="307056"/>
    <x v="18"/>
    <n v="1"/>
  </r>
  <r>
    <n v="307060"/>
    <x v="19"/>
    <n v="3"/>
  </r>
  <r>
    <n v="307063"/>
    <x v="20"/>
    <n v="1"/>
  </r>
  <r>
    <n v="307068"/>
    <x v="21"/>
    <n v="1"/>
  </r>
  <r>
    <n v="307071"/>
    <x v="22"/>
    <n v="2"/>
  </r>
  <r>
    <n v="307075"/>
    <x v="23"/>
    <n v="1"/>
  </r>
  <r>
    <n v="307079"/>
    <x v="24"/>
    <n v="2"/>
  </r>
  <r>
    <n v="307081"/>
    <x v="25"/>
    <n v="4"/>
  </r>
  <r>
    <n v="307083"/>
    <x v="26"/>
    <n v="3"/>
  </r>
  <r>
    <n v="307086"/>
    <x v="27"/>
    <n v="3"/>
  </r>
  <r>
    <n v="307090"/>
    <x v="28"/>
    <n v="1"/>
  </r>
  <r>
    <n v="307091"/>
    <x v="29"/>
    <n v="5"/>
  </r>
  <r>
    <n v="307092"/>
    <x v="30"/>
    <n v="2"/>
  </r>
  <r>
    <n v="307094"/>
    <x v="31"/>
    <n v="6"/>
  </r>
  <r>
    <n v="307095"/>
    <x v="32"/>
    <n v="6"/>
  </r>
  <r>
    <n v="307099"/>
    <x v="33"/>
    <n v="1"/>
  </r>
  <r>
    <n v="307101"/>
    <x v="34"/>
    <n v="3"/>
  </r>
  <r>
    <n v="307102"/>
    <x v="35"/>
    <n v="1"/>
  </r>
  <r>
    <n v="307106"/>
    <x v="17"/>
    <n v="1"/>
  </r>
  <r>
    <n v="307111"/>
    <x v="36"/>
    <n v="2"/>
  </r>
  <r>
    <n v="307116"/>
    <x v="37"/>
    <n v="2"/>
  </r>
  <r>
    <n v="307117"/>
    <x v="38"/>
    <n v="1"/>
  </r>
  <r>
    <n v="307121"/>
    <x v="10"/>
    <n v="1"/>
  </r>
  <r>
    <n v="307122"/>
    <x v="39"/>
    <n v="1"/>
  </r>
  <r>
    <n v="307123"/>
    <x v="40"/>
    <n v="1"/>
  </r>
  <r>
    <n v="307124"/>
    <x v="41"/>
    <n v="3"/>
  </r>
  <r>
    <n v="307128"/>
    <x v="42"/>
    <n v="2"/>
  </r>
  <r>
    <n v="307131"/>
    <x v="43"/>
    <n v="6"/>
  </r>
  <r>
    <n v="307133"/>
    <x v="44"/>
    <n v="1"/>
  </r>
  <r>
    <n v="307134"/>
    <x v="37"/>
    <n v="1"/>
  </r>
  <r>
    <n v="307138"/>
    <x v="45"/>
    <n v="2"/>
  </r>
  <r>
    <n v="307143"/>
    <x v="46"/>
    <n v="6"/>
  </r>
  <r>
    <n v="307145"/>
    <x v="18"/>
    <n v="2"/>
  </r>
  <r>
    <n v="307149"/>
    <x v="47"/>
    <n v="5"/>
  </r>
  <r>
    <n v="307153"/>
    <x v="48"/>
    <n v="6"/>
  </r>
  <r>
    <n v="307154"/>
    <x v="49"/>
    <n v="5"/>
  </r>
  <r>
    <n v="307159"/>
    <x v="16"/>
    <n v="4"/>
  </r>
  <r>
    <n v="307161"/>
    <x v="42"/>
    <n v="5"/>
  </r>
  <r>
    <n v="307166"/>
    <x v="50"/>
    <n v="4"/>
  </r>
  <r>
    <n v="307169"/>
    <x v="51"/>
    <n v="4"/>
  </r>
  <r>
    <n v="307170"/>
    <x v="52"/>
    <n v="1"/>
  </r>
  <r>
    <n v="307172"/>
    <x v="53"/>
    <n v="2"/>
  </r>
  <r>
    <n v="307176"/>
    <x v="54"/>
    <n v="2"/>
  </r>
  <r>
    <n v="307178"/>
    <x v="46"/>
    <n v="2"/>
  </r>
  <r>
    <n v="307183"/>
    <x v="40"/>
    <n v="4"/>
  </r>
  <r>
    <n v="307186"/>
    <x v="55"/>
    <n v="2"/>
  </r>
  <r>
    <n v="307190"/>
    <x v="56"/>
    <n v="4"/>
  </r>
  <r>
    <n v="307192"/>
    <x v="57"/>
    <n v="6"/>
  </r>
  <r>
    <n v="307197"/>
    <x v="58"/>
    <n v="1"/>
  </r>
  <r>
    <n v="307200"/>
    <x v="59"/>
    <n v="4"/>
  </r>
  <r>
    <n v="307204"/>
    <x v="60"/>
    <n v="1"/>
  </r>
  <r>
    <n v="307207"/>
    <x v="2"/>
    <n v="2"/>
  </r>
  <r>
    <n v="307212"/>
    <x v="59"/>
    <n v="1"/>
  </r>
  <r>
    <n v="307215"/>
    <x v="61"/>
    <n v="1"/>
  </r>
  <r>
    <n v="307216"/>
    <x v="62"/>
    <n v="3"/>
  </r>
  <r>
    <n v="307217"/>
    <x v="63"/>
    <n v="3"/>
  </r>
  <r>
    <n v="307219"/>
    <x v="12"/>
    <n v="3"/>
  </r>
  <r>
    <n v="307223"/>
    <x v="64"/>
    <n v="1"/>
  </r>
  <r>
    <n v="307226"/>
    <x v="58"/>
    <n v="4"/>
  </r>
  <r>
    <n v="307227"/>
    <x v="65"/>
    <n v="4"/>
  </r>
  <r>
    <n v="307231"/>
    <x v="66"/>
    <n v="4"/>
  </r>
  <r>
    <n v="307233"/>
    <x v="67"/>
    <n v="1"/>
  </r>
  <r>
    <n v="307237"/>
    <x v="68"/>
    <n v="4"/>
  </r>
  <r>
    <n v="307239"/>
    <x v="51"/>
    <n v="4"/>
  </r>
  <r>
    <n v="307241"/>
    <x v="0"/>
    <n v="2"/>
  </r>
  <r>
    <n v="307245"/>
    <x v="69"/>
    <n v="3"/>
  </r>
  <r>
    <n v="307249"/>
    <x v="70"/>
    <n v="1"/>
  </r>
  <r>
    <n v="307252"/>
    <x v="55"/>
    <n v="5"/>
  </r>
  <r>
    <n v="307255"/>
    <x v="71"/>
    <n v="1"/>
  </r>
  <r>
    <n v="307257"/>
    <x v="72"/>
    <n v="2"/>
  </r>
  <r>
    <n v="307260"/>
    <x v="73"/>
    <n v="3"/>
  </r>
  <r>
    <n v="307261"/>
    <x v="66"/>
    <n v="6"/>
  </r>
  <r>
    <n v="307266"/>
    <x v="74"/>
    <n v="2"/>
  </r>
  <r>
    <n v="307267"/>
    <x v="75"/>
    <n v="1"/>
  </r>
  <r>
    <n v="307271"/>
    <x v="45"/>
    <n v="5"/>
  </r>
  <r>
    <n v="307276"/>
    <x v="76"/>
    <n v="4"/>
  </r>
  <r>
    <n v="307281"/>
    <x v="77"/>
    <n v="3"/>
  </r>
  <r>
    <n v="307284"/>
    <x v="76"/>
    <n v="3"/>
  </r>
  <r>
    <n v="307288"/>
    <x v="44"/>
    <n v="2"/>
  </r>
  <r>
    <n v="307289"/>
    <x v="78"/>
    <n v="3"/>
  </r>
  <r>
    <n v="307291"/>
    <x v="79"/>
    <n v="2"/>
  </r>
  <r>
    <n v="307295"/>
    <x v="50"/>
    <n v="2"/>
  </r>
  <r>
    <n v="307297"/>
    <x v="80"/>
    <n v="1"/>
  </r>
  <r>
    <n v="307299"/>
    <x v="81"/>
    <n v="3"/>
  </r>
  <r>
    <n v="307304"/>
    <x v="82"/>
    <n v="6"/>
  </r>
  <r>
    <n v="307305"/>
    <x v="83"/>
    <n v="2"/>
  </r>
  <r>
    <n v="307307"/>
    <x v="84"/>
    <n v="1"/>
  </r>
  <r>
    <n v="307308"/>
    <x v="85"/>
    <n v="6"/>
  </r>
  <r>
    <n v="307309"/>
    <x v="86"/>
    <n v="6"/>
  </r>
  <r>
    <n v="307313"/>
    <x v="81"/>
    <n v="4"/>
  </r>
  <r>
    <n v="307316"/>
    <x v="87"/>
    <n v="5"/>
  </r>
  <r>
    <n v="307320"/>
    <x v="88"/>
    <n v="2"/>
  </r>
  <r>
    <n v="307323"/>
    <x v="2"/>
    <n v="2"/>
  </r>
  <r>
    <n v="307328"/>
    <x v="24"/>
    <n v="4"/>
  </r>
  <r>
    <n v="307331"/>
    <x v="39"/>
    <n v="5"/>
  </r>
  <r>
    <n v="307336"/>
    <x v="89"/>
    <n v="5"/>
  </r>
  <r>
    <n v="307341"/>
    <x v="77"/>
    <n v="1"/>
  </r>
  <r>
    <n v="307346"/>
    <x v="2"/>
    <n v="1"/>
  </r>
  <r>
    <n v="307349"/>
    <x v="90"/>
    <n v="1"/>
  </r>
  <r>
    <n v="307351"/>
    <x v="91"/>
    <n v="1"/>
  </r>
  <r>
    <n v="307356"/>
    <x v="92"/>
    <n v="4"/>
  </r>
  <r>
    <n v="307357"/>
    <x v="93"/>
    <n v="5"/>
  </r>
  <r>
    <n v="307358"/>
    <x v="94"/>
    <n v="1"/>
  </r>
  <r>
    <n v="307363"/>
    <x v="6"/>
    <n v="4"/>
  </r>
  <r>
    <n v="307365"/>
    <x v="95"/>
    <n v="5"/>
  </r>
  <r>
    <n v="307370"/>
    <x v="96"/>
    <n v="2"/>
  </r>
  <r>
    <n v="307375"/>
    <x v="97"/>
    <n v="1"/>
  </r>
  <r>
    <n v="307377"/>
    <x v="98"/>
    <n v="1"/>
  </r>
  <r>
    <n v="307378"/>
    <x v="97"/>
    <n v="4"/>
  </r>
  <r>
    <n v="307379"/>
    <x v="99"/>
    <n v="1"/>
  </r>
  <r>
    <n v="307381"/>
    <x v="100"/>
    <n v="4"/>
  </r>
  <r>
    <n v="307385"/>
    <x v="101"/>
    <n v="4"/>
  </r>
  <r>
    <n v="307390"/>
    <x v="52"/>
    <n v="3"/>
  </r>
  <r>
    <n v="307395"/>
    <x v="102"/>
    <n v="1"/>
  </r>
  <r>
    <n v="307396"/>
    <x v="103"/>
    <n v="1"/>
  </r>
  <r>
    <n v="307400"/>
    <x v="104"/>
    <n v="1"/>
  </r>
  <r>
    <n v="307403"/>
    <x v="105"/>
    <n v="3"/>
  </r>
  <r>
    <n v="307406"/>
    <x v="106"/>
    <n v="1"/>
  </r>
  <r>
    <n v="307407"/>
    <x v="107"/>
    <n v="3"/>
  </r>
  <r>
    <n v="307412"/>
    <x v="108"/>
    <n v="4"/>
  </r>
  <r>
    <n v="307417"/>
    <x v="41"/>
    <n v="2"/>
  </r>
  <r>
    <n v="307418"/>
    <x v="109"/>
    <n v="2"/>
  </r>
  <r>
    <n v="307421"/>
    <x v="110"/>
    <n v="5"/>
  </r>
  <r>
    <n v="307425"/>
    <x v="111"/>
    <n v="1"/>
  </r>
  <r>
    <n v="307428"/>
    <x v="112"/>
    <n v="1"/>
  </r>
  <r>
    <n v="307429"/>
    <x v="113"/>
    <n v="1"/>
  </r>
  <r>
    <n v="307431"/>
    <x v="114"/>
    <n v="1"/>
  </r>
  <r>
    <n v="307432"/>
    <x v="115"/>
    <n v="1"/>
  </r>
  <r>
    <n v="307435"/>
    <x v="116"/>
    <n v="1"/>
  </r>
  <r>
    <n v="307440"/>
    <x v="21"/>
    <n v="2"/>
  </r>
  <r>
    <n v="307444"/>
    <x v="59"/>
    <n v="4"/>
  </r>
  <r>
    <n v="307449"/>
    <x v="57"/>
    <n v="3"/>
  </r>
  <r>
    <n v="307451"/>
    <x v="117"/>
    <n v="1"/>
  </r>
  <r>
    <n v="307453"/>
    <x v="118"/>
    <n v="1"/>
  </r>
  <r>
    <n v="307458"/>
    <x v="108"/>
    <n v="1"/>
  </r>
  <r>
    <n v="307459"/>
    <x v="119"/>
    <n v="3"/>
  </r>
  <r>
    <n v="307463"/>
    <x v="120"/>
    <n v="4"/>
  </r>
  <r>
    <n v="307467"/>
    <x v="121"/>
    <n v="3"/>
  </r>
  <r>
    <n v="307472"/>
    <x v="32"/>
    <n v="3"/>
  </r>
  <r>
    <n v="307476"/>
    <x v="122"/>
    <n v="5"/>
  </r>
  <r>
    <n v="307479"/>
    <x v="95"/>
    <n v="4"/>
  </r>
  <r>
    <n v="307482"/>
    <x v="123"/>
    <n v="4"/>
  </r>
  <r>
    <n v="307483"/>
    <x v="124"/>
    <n v="3"/>
  </r>
  <r>
    <n v="307486"/>
    <x v="53"/>
    <n v="5"/>
  </r>
  <r>
    <n v="307491"/>
    <x v="125"/>
    <n v="5"/>
  </r>
  <r>
    <n v="307495"/>
    <x v="126"/>
    <n v="1"/>
  </r>
  <r>
    <n v="307498"/>
    <x v="127"/>
    <n v="2"/>
  </r>
  <r>
    <n v="307500"/>
    <x v="128"/>
    <n v="1"/>
  </r>
  <r>
    <n v="307505"/>
    <x v="129"/>
    <n v="3"/>
  </r>
  <r>
    <n v="307509"/>
    <x v="83"/>
    <n v="1"/>
  </r>
  <r>
    <n v="307513"/>
    <x v="28"/>
    <n v="5"/>
  </r>
  <r>
    <n v="307517"/>
    <x v="29"/>
    <n v="4"/>
  </r>
  <r>
    <n v="307518"/>
    <x v="20"/>
    <n v="1"/>
  </r>
  <r>
    <n v="307523"/>
    <x v="54"/>
    <n v="3"/>
  </r>
  <r>
    <n v="307525"/>
    <x v="17"/>
    <n v="4"/>
  </r>
  <r>
    <n v="307526"/>
    <x v="114"/>
    <n v="3"/>
  </r>
  <r>
    <n v="307527"/>
    <x v="130"/>
    <n v="2"/>
  </r>
  <r>
    <n v="307529"/>
    <x v="131"/>
    <n v="3"/>
  </r>
  <r>
    <n v="307531"/>
    <x v="25"/>
    <n v="6"/>
  </r>
  <r>
    <n v="307532"/>
    <x v="132"/>
    <n v="5"/>
  </r>
  <r>
    <n v="307534"/>
    <x v="133"/>
    <n v="2"/>
  </r>
  <r>
    <n v="307537"/>
    <x v="69"/>
    <n v="3"/>
  </r>
  <r>
    <n v="307540"/>
    <x v="134"/>
    <n v="3"/>
  </r>
  <r>
    <n v="307545"/>
    <x v="82"/>
    <n v="7"/>
  </r>
  <r>
    <n v="307550"/>
    <x v="135"/>
    <n v="2"/>
  </r>
  <r>
    <n v="307555"/>
    <x v="15"/>
    <n v="2"/>
  </r>
  <r>
    <n v="307556"/>
    <x v="136"/>
    <n v="1"/>
  </r>
  <r>
    <n v="307561"/>
    <x v="93"/>
    <n v="4"/>
  </r>
  <r>
    <n v="307562"/>
    <x v="78"/>
    <n v="6"/>
  </r>
  <r>
    <n v="307563"/>
    <x v="51"/>
    <n v="3"/>
  </r>
  <r>
    <n v="307568"/>
    <x v="137"/>
    <n v="2"/>
  </r>
  <r>
    <n v="307573"/>
    <x v="138"/>
    <n v="1"/>
  </r>
  <r>
    <n v="307575"/>
    <x v="139"/>
    <n v="1"/>
  </r>
  <r>
    <n v="307578"/>
    <x v="111"/>
    <n v="2"/>
  </r>
  <r>
    <n v="307581"/>
    <x v="59"/>
    <n v="5"/>
  </r>
  <r>
    <n v="307582"/>
    <x v="140"/>
    <n v="3"/>
  </r>
  <r>
    <n v="307587"/>
    <x v="40"/>
    <n v="6"/>
  </r>
  <r>
    <n v="307592"/>
    <x v="141"/>
    <n v="1"/>
  </r>
  <r>
    <n v="307595"/>
    <x v="101"/>
    <n v="1"/>
  </r>
  <r>
    <n v="307596"/>
    <x v="33"/>
    <n v="4"/>
  </r>
  <r>
    <n v="307600"/>
    <x v="142"/>
    <n v="2"/>
  </r>
  <r>
    <n v="307601"/>
    <x v="39"/>
    <n v="3"/>
  </r>
  <r>
    <n v="307606"/>
    <x v="39"/>
    <n v="1"/>
  </r>
  <r>
    <n v="307611"/>
    <x v="143"/>
    <n v="3"/>
  </r>
  <r>
    <n v="307613"/>
    <x v="93"/>
    <n v="4"/>
  </r>
  <r>
    <n v="307614"/>
    <x v="144"/>
    <n v="4"/>
  </r>
  <r>
    <n v="307619"/>
    <x v="145"/>
    <n v="2"/>
  </r>
  <r>
    <n v="307621"/>
    <x v="110"/>
    <n v="5"/>
  </r>
  <r>
    <n v="307626"/>
    <x v="54"/>
    <n v="2"/>
  </r>
  <r>
    <n v="307628"/>
    <x v="61"/>
    <n v="1"/>
  </r>
  <r>
    <n v="307633"/>
    <x v="146"/>
    <n v="3"/>
  </r>
  <r>
    <n v="307634"/>
    <x v="81"/>
    <n v="1"/>
  </r>
  <r>
    <n v="307635"/>
    <x v="147"/>
    <n v="1"/>
  </r>
  <r>
    <n v="307640"/>
    <x v="44"/>
    <n v="1"/>
  </r>
  <r>
    <n v="307645"/>
    <x v="58"/>
    <n v="1"/>
  </r>
  <r>
    <n v="307650"/>
    <x v="117"/>
    <n v="5"/>
  </r>
  <r>
    <n v="307651"/>
    <x v="46"/>
    <n v="1"/>
  </r>
  <r>
    <n v="307653"/>
    <x v="10"/>
    <n v="1"/>
  </r>
  <r>
    <n v="307657"/>
    <x v="148"/>
    <n v="4"/>
  </r>
  <r>
    <n v="307661"/>
    <x v="31"/>
    <n v="1"/>
  </r>
  <r>
    <n v="307662"/>
    <x v="63"/>
    <n v="1"/>
  </r>
  <r>
    <n v="307664"/>
    <x v="149"/>
    <n v="2"/>
  </r>
  <r>
    <n v="307669"/>
    <x v="6"/>
    <n v="3"/>
  </r>
  <r>
    <n v="307674"/>
    <x v="150"/>
    <n v="1"/>
  </r>
  <r>
    <n v="307679"/>
    <x v="108"/>
    <n v="5"/>
  </r>
  <r>
    <n v="307683"/>
    <x v="151"/>
    <n v="5"/>
  </r>
  <r>
    <n v="307688"/>
    <x v="15"/>
    <n v="1"/>
  </r>
  <r>
    <n v="307691"/>
    <x v="7"/>
    <n v="1"/>
  </r>
  <r>
    <n v="307692"/>
    <x v="152"/>
    <n v="1"/>
  </r>
  <r>
    <n v="307696"/>
    <x v="153"/>
    <n v="3"/>
  </r>
  <r>
    <n v="307699"/>
    <x v="29"/>
    <n v="1"/>
  </r>
  <r>
    <n v="307703"/>
    <x v="154"/>
    <n v="4"/>
  </r>
  <r>
    <n v="307708"/>
    <x v="84"/>
    <n v="1"/>
  </r>
  <r>
    <n v="307712"/>
    <x v="131"/>
    <n v="2"/>
  </r>
  <r>
    <n v="307714"/>
    <x v="86"/>
    <n v="3"/>
  </r>
  <r>
    <n v="307719"/>
    <x v="11"/>
    <n v="2"/>
  </r>
  <r>
    <n v="307721"/>
    <x v="155"/>
    <n v="3"/>
  </r>
  <r>
    <n v="307723"/>
    <x v="156"/>
    <n v="6"/>
  </r>
  <r>
    <n v="307724"/>
    <x v="157"/>
    <n v="3"/>
  </r>
  <r>
    <n v="307728"/>
    <x v="63"/>
    <n v="3"/>
  </r>
  <r>
    <n v="307732"/>
    <x v="39"/>
    <n v="5"/>
  </r>
  <r>
    <n v="307737"/>
    <x v="158"/>
    <n v="2"/>
  </r>
  <r>
    <n v="307740"/>
    <x v="159"/>
    <n v="1"/>
  </r>
  <r>
    <n v="307742"/>
    <x v="160"/>
    <n v="1"/>
  </r>
  <r>
    <n v="307743"/>
    <x v="161"/>
    <n v="1"/>
  </r>
  <r>
    <n v="307745"/>
    <x v="92"/>
    <n v="1"/>
  </r>
  <r>
    <n v="307748"/>
    <x v="162"/>
    <n v="1"/>
  </r>
  <r>
    <n v="307749"/>
    <x v="133"/>
    <n v="5"/>
  </r>
  <r>
    <n v="307751"/>
    <x v="77"/>
    <n v="3"/>
  </r>
  <r>
    <n v="307754"/>
    <x v="107"/>
    <n v="2"/>
  </r>
  <r>
    <n v="307759"/>
    <x v="163"/>
    <n v="1"/>
  </r>
  <r>
    <n v="307763"/>
    <x v="27"/>
    <n v="6"/>
  </r>
  <r>
    <n v="307764"/>
    <x v="164"/>
    <n v="6"/>
  </r>
  <r>
    <n v="307768"/>
    <x v="126"/>
    <n v="1"/>
  </r>
  <r>
    <n v="307769"/>
    <x v="97"/>
    <n v="2"/>
  </r>
  <r>
    <n v="307772"/>
    <x v="57"/>
    <n v="5"/>
  </r>
  <r>
    <n v="307774"/>
    <x v="97"/>
    <n v="5"/>
  </r>
  <r>
    <n v="307778"/>
    <x v="150"/>
    <n v="1"/>
  </r>
  <r>
    <n v="307779"/>
    <x v="71"/>
    <n v="1"/>
  </r>
  <r>
    <n v="307782"/>
    <x v="100"/>
    <n v="3"/>
  </r>
  <r>
    <n v="307787"/>
    <x v="13"/>
    <n v="1"/>
  </r>
  <r>
    <n v="307791"/>
    <x v="22"/>
    <n v="1"/>
  </r>
  <r>
    <n v="307792"/>
    <x v="85"/>
    <n v="3"/>
  </r>
  <r>
    <n v="307795"/>
    <x v="165"/>
    <n v="1"/>
  </r>
  <r>
    <n v="307800"/>
    <x v="166"/>
    <n v="1"/>
  </r>
  <r>
    <n v="307803"/>
    <x v="144"/>
    <n v="3"/>
  </r>
  <r>
    <n v="307808"/>
    <x v="69"/>
    <n v="2"/>
  </r>
  <r>
    <n v="307811"/>
    <x v="167"/>
    <n v="1"/>
  </r>
  <r>
    <n v="307816"/>
    <x v="58"/>
    <n v="1"/>
  </r>
  <r>
    <n v="307819"/>
    <x v="166"/>
    <n v="2"/>
  </r>
  <r>
    <n v="307822"/>
    <x v="168"/>
    <n v="1"/>
  </r>
  <r>
    <n v="307826"/>
    <x v="82"/>
    <n v="2"/>
  </r>
  <r>
    <n v="307827"/>
    <x v="147"/>
    <n v="1"/>
  </r>
  <r>
    <n v="307830"/>
    <x v="169"/>
    <n v="1"/>
  </r>
  <r>
    <n v="307834"/>
    <x v="170"/>
    <n v="3"/>
  </r>
  <r>
    <n v="307837"/>
    <x v="171"/>
    <n v="3"/>
  </r>
  <r>
    <n v="307838"/>
    <x v="73"/>
    <n v="3"/>
  </r>
  <r>
    <n v="307843"/>
    <x v="118"/>
    <n v="6"/>
  </r>
  <r>
    <n v="307847"/>
    <x v="83"/>
    <n v="1"/>
  </r>
  <r>
    <n v="307850"/>
    <x v="84"/>
    <n v="2"/>
  </r>
  <r>
    <n v="307853"/>
    <x v="172"/>
    <n v="2"/>
  </r>
  <r>
    <n v="307856"/>
    <x v="9"/>
    <n v="1"/>
  </r>
  <r>
    <n v="307860"/>
    <x v="173"/>
    <n v="2"/>
  </r>
  <r>
    <n v="307863"/>
    <x v="156"/>
    <n v="2"/>
  </r>
  <r>
    <n v="307867"/>
    <x v="174"/>
    <n v="1"/>
  </r>
  <r>
    <n v="307869"/>
    <x v="175"/>
    <n v="2"/>
  </r>
  <r>
    <n v="307872"/>
    <x v="176"/>
    <n v="1"/>
  </r>
  <r>
    <n v="307873"/>
    <x v="3"/>
    <n v="3"/>
  </r>
  <r>
    <n v="307876"/>
    <x v="120"/>
    <n v="3"/>
  </r>
  <r>
    <n v="307877"/>
    <x v="59"/>
    <n v="1"/>
  </r>
  <r>
    <n v="307881"/>
    <x v="70"/>
    <n v="3"/>
  </r>
  <r>
    <n v="307884"/>
    <x v="177"/>
    <n v="1"/>
  </r>
  <r>
    <n v="307885"/>
    <x v="139"/>
    <n v="2"/>
  </r>
  <r>
    <n v="307888"/>
    <x v="178"/>
    <n v="2"/>
  </r>
  <r>
    <n v="307891"/>
    <x v="55"/>
    <n v="4"/>
  </r>
  <r>
    <n v="307894"/>
    <x v="136"/>
    <n v="1"/>
  </r>
  <r>
    <n v="307897"/>
    <x v="179"/>
    <n v="6"/>
  </r>
  <r>
    <n v="307901"/>
    <x v="92"/>
    <n v="5"/>
  </r>
  <r>
    <n v="307903"/>
    <x v="180"/>
    <n v="2"/>
  </r>
  <r>
    <n v="307908"/>
    <x v="95"/>
    <n v="1"/>
  </r>
  <r>
    <n v="307911"/>
    <x v="118"/>
    <n v="3"/>
  </r>
  <r>
    <n v="307915"/>
    <x v="181"/>
    <n v="5"/>
  </r>
  <r>
    <n v="307916"/>
    <x v="182"/>
    <n v="6"/>
  </r>
  <r>
    <n v="307920"/>
    <x v="183"/>
    <n v="4"/>
  </r>
  <r>
    <n v="307922"/>
    <x v="153"/>
    <n v="1"/>
  </r>
  <r>
    <n v="307923"/>
    <x v="184"/>
    <n v="2"/>
  </r>
  <r>
    <n v="307928"/>
    <x v="185"/>
    <n v="6"/>
  </r>
  <r>
    <n v="307932"/>
    <x v="99"/>
    <n v="7"/>
  </r>
  <r>
    <n v="307937"/>
    <x v="9"/>
    <n v="1"/>
  </r>
  <r>
    <n v="307939"/>
    <x v="26"/>
    <n v="2"/>
  </r>
  <r>
    <n v="307940"/>
    <x v="149"/>
    <n v="1"/>
  </r>
  <r>
    <n v="307941"/>
    <x v="142"/>
    <n v="3"/>
  </r>
  <r>
    <n v="307942"/>
    <x v="84"/>
    <n v="1"/>
  </r>
  <r>
    <n v="307946"/>
    <x v="186"/>
    <n v="3"/>
  </r>
  <r>
    <n v="307949"/>
    <x v="187"/>
    <n v="3"/>
  </r>
  <r>
    <n v="307954"/>
    <x v="188"/>
    <n v="3"/>
  </r>
  <r>
    <n v="307957"/>
    <x v="189"/>
    <n v="5"/>
  </r>
  <r>
    <n v="307962"/>
    <x v="190"/>
    <n v="1"/>
  </r>
  <r>
    <n v="307964"/>
    <x v="26"/>
    <n v="2"/>
  </r>
  <r>
    <n v="307969"/>
    <x v="110"/>
    <n v="1"/>
  </r>
  <r>
    <n v="307971"/>
    <x v="191"/>
    <n v="1"/>
  </r>
  <r>
    <n v="307972"/>
    <x v="56"/>
    <n v="1"/>
  </r>
  <r>
    <n v="307976"/>
    <x v="164"/>
    <n v="3"/>
  </r>
  <r>
    <n v="307979"/>
    <x v="103"/>
    <n v="5"/>
  </r>
  <r>
    <n v="307983"/>
    <x v="184"/>
    <n v="3"/>
  </r>
  <r>
    <n v="307985"/>
    <x v="192"/>
    <n v="2"/>
  </r>
  <r>
    <n v="307986"/>
    <x v="108"/>
    <n v="2"/>
  </r>
  <r>
    <n v="307988"/>
    <x v="152"/>
    <n v="3"/>
  </r>
  <r>
    <n v="307990"/>
    <x v="10"/>
    <n v="1"/>
  </r>
  <r>
    <n v="307993"/>
    <x v="193"/>
    <n v="1"/>
  </r>
  <r>
    <n v="307998"/>
    <x v="63"/>
    <n v="2"/>
  </r>
  <r>
    <n v="308000"/>
    <x v="194"/>
    <n v="6"/>
  </r>
  <r>
    <n v="308001"/>
    <x v="122"/>
    <n v="2"/>
  </r>
  <r>
    <n v="308004"/>
    <x v="159"/>
    <n v="3"/>
  </r>
  <r>
    <n v="308008"/>
    <x v="195"/>
    <n v="2"/>
  </r>
  <r>
    <n v="308011"/>
    <x v="55"/>
    <n v="5"/>
  </r>
  <r>
    <n v="308013"/>
    <x v="123"/>
    <n v="4"/>
  </r>
  <r>
    <n v="308018"/>
    <x v="195"/>
    <n v="5"/>
  </r>
  <r>
    <n v="308023"/>
    <x v="2"/>
    <n v="1"/>
  </r>
  <r>
    <n v="308024"/>
    <x v="196"/>
    <n v="1"/>
  </r>
  <r>
    <n v="308029"/>
    <x v="159"/>
    <n v="3"/>
  </r>
  <r>
    <n v="308032"/>
    <x v="197"/>
    <n v="2"/>
  </r>
  <r>
    <n v="308035"/>
    <x v="198"/>
    <n v="1"/>
  </r>
  <r>
    <n v="308040"/>
    <x v="199"/>
    <n v="3"/>
  </r>
  <r>
    <n v="308041"/>
    <x v="200"/>
    <n v="2"/>
  </r>
  <r>
    <n v="308046"/>
    <x v="17"/>
    <n v="4"/>
  </r>
  <r>
    <n v="308048"/>
    <x v="54"/>
    <n v="2"/>
  </r>
  <r>
    <n v="308050"/>
    <x v="111"/>
    <n v="1"/>
  </r>
  <r>
    <n v="308051"/>
    <x v="201"/>
    <n v="5"/>
  </r>
  <r>
    <n v="308055"/>
    <x v="157"/>
    <n v="3"/>
  </r>
  <r>
    <n v="308059"/>
    <x v="30"/>
    <n v="3"/>
  </r>
  <r>
    <n v="308063"/>
    <x v="172"/>
    <n v="4"/>
  </r>
  <r>
    <n v="308066"/>
    <x v="202"/>
    <n v="2"/>
  </r>
  <r>
    <n v="308067"/>
    <x v="203"/>
    <n v="1"/>
  </r>
  <r>
    <n v="308068"/>
    <x v="11"/>
    <n v="1"/>
  </r>
  <r>
    <n v="308073"/>
    <x v="23"/>
    <n v="6"/>
  </r>
  <r>
    <n v="308077"/>
    <x v="204"/>
    <n v="5"/>
  </r>
  <r>
    <n v="308082"/>
    <x v="205"/>
    <n v="1"/>
  </r>
  <r>
    <n v="308084"/>
    <x v="206"/>
    <n v="1"/>
  </r>
  <r>
    <n v="308085"/>
    <x v="85"/>
    <n v="4"/>
  </r>
  <r>
    <n v="308086"/>
    <x v="207"/>
    <n v="3"/>
  </r>
  <r>
    <n v="308089"/>
    <x v="195"/>
    <n v="3"/>
  </r>
  <r>
    <n v="308090"/>
    <x v="187"/>
    <n v="5"/>
  </r>
  <r>
    <n v="308095"/>
    <x v="102"/>
    <n v="3"/>
  </r>
  <r>
    <n v="308100"/>
    <x v="208"/>
    <n v="2"/>
  </r>
  <r>
    <n v="308101"/>
    <x v="5"/>
    <n v="5"/>
  </r>
  <r>
    <n v="308106"/>
    <x v="70"/>
    <n v="2"/>
  </r>
  <r>
    <n v="308111"/>
    <x v="172"/>
    <n v="1"/>
  </r>
  <r>
    <n v="308116"/>
    <x v="106"/>
    <n v="3"/>
  </r>
  <r>
    <n v="308118"/>
    <x v="88"/>
    <n v="5"/>
  </r>
  <r>
    <n v="308122"/>
    <x v="13"/>
    <n v="1"/>
  </r>
  <r>
    <n v="308127"/>
    <x v="183"/>
    <n v="2"/>
  </r>
  <r>
    <n v="308129"/>
    <x v="209"/>
    <n v="3"/>
  </r>
  <r>
    <n v="308133"/>
    <x v="210"/>
    <n v="3"/>
  </r>
  <r>
    <n v="308138"/>
    <x v="91"/>
    <n v="2"/>
  </r>
  <r>
    <n v="308141"/>
    <x v="94"/>
    <n v="1"/>
  </r>
  <r>
    <n v="308143"/>
    <x v="139"/>
    <n v="2"/>
  </r>
  <r>
    <n v="308144"/>
    <x v="211"/>
    <n v="2"/>
  </r>
  <r>
    <n v="308147"/>
    <x v="133"/>
    <n v="1"/>
  </r>
  <r>
    <n v="308150"/>
    <x v="138"/>
    <n v="2"/>
  </r>
  <r>
    <n v="308155"/>
    <x v="98"/>
    <n v="1"/>
  </r>
  <r>
    <n v="308159"/>
    <x v="143"/>
    <n v="1"/>
  </r>
  <r>
    <n v="308160"/>
    <x v="211"/>
    <n v="1"/>
  </r>
  <r>
    <n v="308162"/>
    <x v="89"/>
    <n v="2"/>
  </r>
  <r>
    <n v="308163"/>
    <x v="182"/>
    <n v="5"/>
  </r>
  <r>
    <n v="308164"/>
    <x v="212"/>
    <n v="2"/>
  </r>
  <r>
    <n v="308169"/>
    <x v="194"/>
    <n v="6"/>
  </r>
  <r>
    <n v="308173"/>
    <x v="213"/>
    <n v="4"/>
  </r>
  <r>
    <n v="308175"/>
    <x v="214"/>
    <n v="4"/>
  </r>
  <r>
    <n v="308177"/>
    <x v="215"/>
    <n v="4"/>
  </r>
  <r>
    <n v="308179"/>
    <x v="95"/>
    <n v="5"/>
  </r>
  <r>
    <n v="308181"/>
    <x v="171"/>
    <n v="1"/>
  </r>
  <r>
    <n v="308185"/>
    <x v="100"/>
    <n v="3"/>
  </r>
  <r>
    <n v="308189"/>
    <x v="150"/>
    <n v="1"/>
  </r>
  <r>
    <n v="308192"/>
    <x v="126"/>
    <n v="2"/>
  </r>
  <r>
    <n v="308194"/>
    <x v="154"/>
    <n v="6"/>
  </r>
  <r>
    <n v="308198"/>
    <x v="216"/>
    <n v="1"/>
  </r>
  <r>
    <n v="308201"/>
    <x v="84"/>
    <n v="5"/>
  </r>
  <r>
    <n v="308205"/>
    <x v="137"/>
    <n v="1"/>
  </r>
  <r>
    <n v="308206"/>
    <x v="85"/>
    <n v="2"/>
  </r>
  <r>
    <n v="308211"/>
    <x v="217"/>
    <n v="1"/>
  </r>
  <r>
    <n v="308213"/>
    <x v="215"/>
    <n v="3"/>
  </r>
  <r>
    <n v="308217"/>
    <x v="217"/>
    <n v="4"/>
  </r>
  <r>
    <n v="308222"/>
    <x v="126"/>
    <n v="5"/>
  </r>
  <r>
    <n v="308223"/>
    <x v="4"/>
    <n v="6"/>
  </r>
  <r>
    <n v="308224"/>
    <x v="61"/>
    <n v="3"/>
  </r>
  <r>
    <n v="308226"/>
    <x v="148"/>
    <n v="2"/>
  </r>
  <r>
    <n v="308231"/>
    <x v="192"/>
    <n v="6"/>
  </r>
  <r>
    <n v="308235"/>
    <x v="62"/>
    <n v="2"/>
  </r>
  <r>
    <n v="308238"/>
    <x v="192"/>
    <n v="3"/>
  </r>
  <r>
    <n v="308241"/>
    <x v="81"/>
    <n v="2"/>
  </r>
  <r>
    <n v="308246"/>
    <x v="218"/>
    <n v="1"/>
  </r>
  <r>
    <n v="308249"/>
    <x v="175"/>
    <n v="1"/>
  </r>
  <r>
    <n v="308252"/>
    <x v="219"/>
    <n v="2"/>
  </r>
  <r>
    <n v="308255"/>
    <x v="156"/>
    <n v="1"/>
  </r>
  <r>
    <n v="308256"/>
    <x v="220"/>
    <n v="4"/>
  </r>
  <r>
    <n v="308257"/>
    <x v="221"/>
    <n v="1"/>
  </r>
  <r>
    <n v="308258"/>
    <x v="169"/>
    <n v="4"/>
  </r>
  <r>
    <n v="308263"/>
    <x v="65"/>
    <n v="4"/>
  </r>
  <r>
    <n v="308266"/>
    <x v="84"/>
    <n v="4"/>
  </r>
  <r>
    <n v="308267"/>
    <x v="203"/>
    <n v="1"/>
  </r>
  <r>
    <n v="308270"/>
    <x v="163"/>
    <n v="5"/>
  </r>
  <r>
    <n v="308272"/>
    <x v="217"/>
    <n v="4"/>
  </r>
  <r>
    <n v="308274"/>
    <x v="154"/>
    <n v="4"/>
  </r>
  <r>
    <n v="308275"/>
    <x v="222"/>
    <n v="6"/>
  </r>
  <r>
    <n v="308278"/>
    <x v="223"/>
    <n v="6"/>
  </r>
  <r>
    <n v="308279"/>
    <x v="224"/>
    <n v="1"/>
  </r>
  <r>
    <n v="308280"/>
    <x v="158"/>
    <n v="1"/>
  </r>
  <r>
    <n v="308282"/>
    <x v="51"/>
    <n v="6"/>
  </r>
  <r>
    <n v="308286"/>
    <x v="202"/>
    <n v="4"/>
  </r>
  <r>
    <n v="308288"/>
    <x v="225"/>
    <n v="2"/>
  </r>
  <r>
    <n v="308293"/>
    <x v="157"/>
    <n v="3"/>
  </r>
  <r>
    <n v="308294"/>
    <x v="167"/>
    <n v="3"/>
  </r>
  <r>
    <n v="308299"/>
    <x v="85"/>
    <n v="3"/>
  </r>
  <r>
    <n v="308304"/>
    <x v="123"/>
    <n v="1"/>
  </r>
  <r>
    <n v="308308"/>
    <x v="42"/>
    <n v="1"/>
  </r>
  <r>
    <n v="308313"/>
    <x v="178"/>
    <n v="5"/>
  </r>
  <r>
    <n v="308318"/>
    <x v="190"/>
    <n v="5"/>
  </r>
  <r>
    <n v="308323"/>
    <x v="67"/>
    <n v="5"/>
  </r>
  <r>
    <n v="308328"/>
    <x v="159"/>
    <n v="5"/>
  </r>
  <r>
    <n v="308333"/>
    <x v="91"/>
    <n v="2"/>
  </r>
  <r>
    <n v="308337"/>
    <x v="155"/>
    <n v="2"/>
  </r>
  <r>
    <n v="308340"/>
    <x v="121"/>
    <n v="5"/>
  </r>
  <r>
    <n v="308342"/>
    <x v="7"/>
    <n v="3"/>
  </r>
  <r>
    <n v="308347"/>
    <x v="137"/>
    <n v="2"/>
  </r>
  <r>
    <n v="308348"/>
    <x v="226"/>
    <n v="4"/>
  </r>
  <r>
    <n v="308352"/>
    <x v="227"/>
    <n v="4"/>
  </r>
  <r>
    <n v="308353"/>
    <x v="228"/>
    <n v="3"/>
  </r>
  <r>
    <n v="308356"/>
    <x v="192"/>
    <n v="3"/>
  </r>
  <r>
    <n v="308361"/>
    <x v="174"/>
    <n v="6"/>
  </r>
  <r>
    <n v="308363"/>
    <x v="229"/>
    <n v="3"/>
  </r>
  <r>
    <n v="308368"/>
    <x v="71"/>
    <n v="3"/>
  </r>
  <r>
    <n v="308369"/>
    <x v="155"/>
    <n v="2"/>
  </r>
  <r>
    <n v="308372"/>
    <x v="28"/>
    <n v="1"/>
  </r>
  <r>
    <n v="308374"/>
    <x v="230"/>
    <n v="3"/>
  </r>
  <r>
    <n v="308379"/>
    <x v="55"/>
    <n v="2"/>
  </r>
  <r>
    <n v="308380"/>
    <x v="231"/>
    <n v="2"/>
  </r>
  <r>
    <n v="308382"/>
    <x v="136"/>
    <n v="1"/>
  </r>
  <r>
    <n v="308387"/>
    <x v="61"/>
    <n v="5"/>
  </r>
  <r>
    <n v="308392"/>
    <x v="150"/>
    <n v="4"/>
  </r>
  <r>
    <n v="308397"/>
    <x v="232"/>
    <n v="5"/>
  </r>
  <r>
    <n v="308399"/>
    <x v="106"/>
    <n v="1"/>
  </r>
  <r>
    <n v="308400"/>
    <x v="233"/>
    <n v="4"/>
  </r>
  <r>
    <n v="308405"/>
    <x v="160"/>
    <n v="5"/>
  </r>
  <r>
    <n v="308410"/>
    <x v="234"/>
    <n v="2"/>
  </r>
  <r>
    <n v="308414"/>
    <x v="198"/>
    <n v="6"/>
  </r>
  <r>
    <n v="308416"/>
    <x v="12"/>
    <n v="6"/>
  </r>
  <r>
    <n v="308420"/>
    <x v="52"/>
    <n v="1"/>
  </r>
  <r>
    <n v="308423"/>
    <x v="196"/>
    <n v="1"/>
  </r>
  <r>
    <n v="308426"/>
    <x v="170"/>
    <n v="3"/>
  </r>
  <r>
    <n v="308429"/>
    <x v="235"/>
    <n v="3"/>
  </r>
  <r>
    <n v="308431"/>
    <x v="146"/>
    <n v="2"/>
  </r>
  <r>
    <n v="308433"/>
    <x v="52"/>
    <n v="3"/>
  </r>
  <r>
    <n v="308438"/>
    <x v="83"/>
    <n v="1"/>
  </r>
  <r>
    <n v="308439"/>
    <x v="164"/>
    <n v="1"/>
  </r>
  <r>
    <n v="308442"/>
    <x v="146"/>
    <n v="5"/>
  </r>
  <r>
    <n v="308445"/>
    <x v="92"/>
    <n v="4"/>
  </r>
  <r>
    <n v="308446"/>
    <x v="24"/>
    <n v="1"/>
  </r>
  <r>
    <n v="308447"/>
    <x v="119"/>
    <n v="5"/>
  </r>
  <r>
    <n v="308451"/>
    <x v="197"/>
    <n v="2"/>
  </r>
  <r>
    <n v="308456"/>
    <x v="236"/>
    <n v="6"/>
  </r>
  <r>
    <n v="308461"/>
    <x v="237"/>
    <n v="3"/>
  </r>
  <r>
    <n v="308465"/>
    <x v="238"/>
    <n v="2"/>
  </r>
  <r>
    <n v="308468"/>
    <x v="136"/>
    <n v="4"/>
  </r>
  <r>
    <n v="308473"/>
    <x v="0"/>
    <n v="5"/>
  </r>
  <r>
    <n v="308474"/>
    <x v="178"/>
    <n v="4"/>
  </r>
  <r>
    <n v="308475"/>
    <x v="239"/>
    <n v="3"/>
  </r>
  <r>
    <n v="308479"/>
    <x v="239"/>
    <n v="6"/>
  </r>
  <r>
    <n v="308480"/>
    <x v="110"/>
    <n v="4"/>
  </r>
  <r>
    <n v="308481"/>
    <x v="116"/>
    <n v="5"/>
  </r>
  <r>
    <n v="308483"/>
    <x v="240"/>
    <n v="4"/>
  </r>
  <r>
    <n v="308488"/>
    <x v="241"/>
    <n v="5"/>
  </r>
  <r>
    <n v="308493"/>
    <x v="147"/>
    <n v="2"/>
  </r>
  <r>
    <n v="308496"/>
    <x v="173"/>
    <n v="1"/>
  </r>
  <r>
    <n v="308497"/>
    <x v="44"/>
    <n v="1"/>
  </r>
  <r>
    <n v="308498"/>
    <x v="162"/>
    <n v="5"/>
  </r>
  <r>
    <n v="308502"/>
    <x v="207"/>
    <n v="1"/>
  </r>
  <r>
    <n v="308506"/>
    <x v="34"/>
    <n v="2"/>
  </r>
  <r>
    <n v="308510"/>
    <x v="170"/>
    <n v="3"/>
  </r>
  <r>
    <n v="308513"/>
    <x v="176"/>
    <n v="3"/>
  </r>
  <r>
    <n v="308514"/>
    <x v="113"/>
    <n v="4"/>
  </r>
  <r>
    <n v="308515"/>
    <x v="242"/>
    <n v="6"/>
  </r>
  <r>
    <n v="308520"/>
    <x v="20"/>
    <n v="1"/>
  </r>
  <r>
    <n v="308524"/>
    <x v="33"/>
    <n v="5"/>
  </r>
  <r>
    <n v="308525"/>
    <x v="28"/>
    <n v="1"/>
  </r>
  <r>
    <n v="308526"/>
    <x v="135"/>
    <n v="2"/>
  </r>
  <r>
    <n v="308531"/>
    <x v="51"/>
    <n v="2"/>
  </r>
  <r>
    <n v="308534"/>
    <x v="143"/>
    <n v="5"/>
  </r>
  <r>
    <n v="308536"/>
    <x v="191"/>
    <n v="4"/>
  </r>
  <r>
    <n v="308540"/>
    <x v="121"/>
    <n v="2"/>
  </r>
  <r>
    <n v="308545"/>
    <x v="38"/>
    <n v="1"/>
  </r>
  <r>
    <n v="308549"/>
    <x v="31"/>
    <n v="1"/>
  </r>
  <r>
    <n v="308551"/>
    <x v="158"/>
    <n v="5"/>
  </r>
  <r>
    <n v="308555"/>
    <x v="45"/>
    <n v="1"/>
  </r>
  <r>
    <n v="308559"/>
    <x v="201"/>
    <n v="1"/>
  </r>
  <r>
    <n v="308564"/>
    <x v="44"/>
    <n v="7"/>
  </r>
  <r>
    <n v="308565"/>
    <x v="141"/>
    <n v="1"/>
  </r>
  <r>
    <n v="308569"/>
    <x v="237"/>
    <n v="1"/>
  </r>
  <r>
    <n v="308572"/>
    <x v="140"/>
    <n v="1"/>
  </r>
  <r>
    <n v="308576"/>
    <x v="141"/>
    <n v="3"/>
  </r>
  <r>
    <n v="308579"/>
    <x v="243"/>
    <n v="1"/>
  </r>
  <r>
    <n v="308582"/>
    <x v="75"/>
    <n v="3"/>
  </r>
  <r>
    <n v="308585"/>
    <x v="110"/>
    <n v="2"/>
  </r>
  <r>
    <n v="308589"/>
    <x v="95"/>
    <n v="2"/>
  </r>
  <r>
    <n v="308594"/>
    <x v="125"/>
    <n v="2"/>
  </r>
  <r>
    <n v="308599"/>
    <x v="227"/>
    <n v="2"/>
  </r>
  <r>
    <n v="308603"/>
    <x v="244"/>
    <n v="1"/>
  </r>
  <r>
    <n v="308605"/>
    <x v="217"/>
    <n v="1"/>
  </r>
  <r>
    <n v="308608"/>
    <x v="32"/>
    <n v="1"/>
  </r>
  <r>
    <n v="308612"/>
    <x v="12"/>
    <n v="5"/>
  </r>
  <r>
    <n v="308616"/>
    <x v="42"/>
    <n v="4"/>
  </r>
  <r>
    <n v="308621"/>
    <x v="122"/>
    <n v="6"/>
  </r>
  <r>
    <n v="308623"/>
    <x v="93"/>
    <n v="3"/>
  </r>
  <r>
    <n v="308625"/>
    <x v="204"/>
    <n v="7"/>
  </r>
  <r>
    <n v="308626"/>
    <x v="200"/>
    <n v="7"/>
  </r>
  <r>
    <n v="308629"/>
    <x v="91"/>
    <n v="1"/>
  </r>
  <r>
    <n v="308630"/>
    <x v="48"/>
    <n v="4"/>
  </r>
  <r>
    <n v="308633"/>
    <x v="20"/>
    <n v="2"/>
  </r>
  <r>
    <n v="308634"/>
    <x v="141"/>
    <n v="1"/>
  </r>
  <r>
    <n v="308635"/>
    <x v="204"/>
    <n v="6"/>
  </r>
  <r>
    <n v="308636"/>
    <x v="205"/>
    <n v="3"/>
  </r>
  <r>
    <n v="308641"/>
    <x v="85"/>
    <n v="2"/>
  </r>
  <r>
    <n v="308642"/>
    <x v="164"/>
    <n v="5"/>
  </r>
  <r>
    <n v="308643"/>
    <x v="174"/>
    <n v="3"/>
  </r>
  <r>
    <n v="308648"/>
    <x v="98"/>
    <n v="1"/>
  </r>
  <r>
    <n v="308650"/>
    <x v="84"/>
    <n v="1"/>
  </r>
  <r>
    <n v="308654"/>
    <x v="196"/>
    <n v="2"/>
  </r>
  <r>
    <n v="308659"/>
    <x v="48"/>
    <n v="1"/>
  </r>
  <r>
    <n v="308664"/>
    <x v="17"/>
    <n v="7"/>
  </r>
  <r>
    <n v="308668"/>
    <x v="98"/>
    <n v="2"/>
  </r>
  <r>
    <n v="308672"/>
    <x v="11"/>
    <n v="7"/>
  </r>
  <r>
    <n v="308677"/>
    <x v="70"/>
    <n v="4"/>
  </r>
  <r>
    <n v="308680"/>
    <x v="245"/>
    <n v="2"/>
  </r>
  <r>
    <n v="308682"/>
    <x v="171"/>
    <n v="3"/>
  </r>
  <r>
    <n v="308687"/>
    <x v="70"/>
    <n v="5"/>
  </r>
  <r>
    <n v="308688"/>
    <x v="177"/>
    <n v="3"/>
  </r>
  <r>
    <n v="308691"/>
    <x v="37"/>
    <n v="4"/>
  </r>
  <r>
    <n v="308696"/>
    <x v="191"/>
    <n v="2"/>
  </r>
  <r>
    <n v="308700"/>
    <x v="0"/>
    <n v="1"/>
  </r>
  <r>
    <n v="308703"/>
    <x v="54"/>
    <n v="3"/>
  </r>
  <r>
    <n v="308706"/>
    <x v="120"/>
    <n v="4"/>
  </r>
  <r>
    <n v="308710"/>
    <x v="77"/>
    <n v="2"/>
  </r>
  <r>
    <n v="308713"/>
    <x v="43"/>
    <n v="1"/>
  </r>
  <r>
    <n v="308717"/>
    <x v="71"/>
    <n v="4"/>
  </r>
  <r>
    <n v="308718"/>
    <x v="132"/>
    <n v="2"/>
  </r>
  <r>
    <n v="308723"/>
    <x v="72"/>
    <n v="3"/>
  </r>
  <r>
    <n v="308725"/>
    <x v="126"/>
    <n v="5"/>
  </r>
  <r>
    <n v="308726"/>
    <x v="170"/>
    <n v="2"/>
  </r>
  <r>
    <n v="308728"/>
    <x v="181"/>
    <n v="2"/>
  </r>
  <r>
    <n v="308731"/>
    <x v="189"/>
    <n v="6"/>
  </r>
  <r>
    <n v="308732"/>
    <x v="221"/>
    <n v="2"/>
  </r>
  <r>
    <n v="308733"/>
    <x v="115"/>
    <n v="5"/>
  </r>
  <r>
    <n v="308737"/>
    <x v="246"/>
    <n v="5"/>
  </r>
  <r>
    <n v="308740"/>
    <x v="247"/>
    <n v="3"/>
  </r>
  <r>
    <n v="308741"/>
    <x v="43"/>
    <n v="2"/>
  </r>
  <r>
    <n v="308742"/>
    <x v="223"/>
    <n v="1"/>
  </r>
  <r>
    <n v="308744"/>
    <x v="180"/>
    <n v="2"/>
  </r>
  <r>
    <n v="308745"/>
    <x v="38"/>
    <n v="6"/>
  </r>
  <r>
    <n v="308750"/>
    <x v="7"/>
    <n v="1"/>
  </r>
  <r>
    <n v="308753"/>
    <x v="3"/>
    <n v="2"/>
  </r>
  <r>
    <n v="308757"/>
    <x v="219"/>
    <n v="2"/>
  </r>
  <r>
    <n v="308759"/>
    <x v="248"/>
    <n v="4"/>
  </r>
  <r>
    <n v="308762"/>
    <x v="186"/>
    <n v="2"/>
  </r>
  <r>
    <n v="308766"/>
    <x v="149"/>
    <n v="1"/>
  </r>
  <r>
    <n v="308767"/>
    <x v="130"/>
    <n v="5"/>
  </r>
  <r>
    <n v="308768"/>
    <x v="249"/>
    <n v="2"/>
  </r>
  <r>
    <n v="308772"/>
    <x v="117"/>
    <n v="3"/>
  </r>
  <r>
    <n v="308777"/>
    <x v="79"/>
    <n v="1"/>
  </r>
  <r>
    <n v="308778"/>
    <x v="250"/>
    <n v="4"/>
  </r>
  <r>
    <n v="308781"/>
    <x v="152"/>
    <n v="1"/>
  </r>
  <r>
    <n v="308785"/>
    <x v="212"/>
    <n v="3"/>
  </r>
  <r>
    <n v="308788"/>
    <x v="94"/>
    <n v="5"/>
  </r>
  <r>
    <n v="308792"/>
    <x v="215"/>
    <n v="2"/>
  </r>
  <r>
    <n v="308795"/>
    <x v="251"/>
    <n v="1"/>
  </r>
  <r>
    <n v="308799"/>
    <x v="170"/>
    <n v="3"/>
  </r>
  <r>
    <n v="308803"/>
    <x v="150"/>
    <n v="1"/>
  </r>
  <r>
    <n v="308806"/>
    <x v="102"/>
    <n v="1"/>
  </r>
  <r>
    <n v="308809"/>
    <x v="233"/>
    <n v="2"/>
  </r>
  <r>
    <n v="308814"/>
    <x v="239"/>
    <n v="2"/>
  </r>
  <r>
    <n v="308817"/>
    <x v="59"/>
    <n v="1"/>
  </r>
  <r>
    <n v="308819"/>
    <x v="225"/>
    <n v="6"/>
  </r>
  <r>
    <n v="308822"/>
    <x v="193"/>
    <n v="1"/>
  </r>
  <r>
    <n v="308826"/>
    <x v="63"/>
    <n v="1"/>
  </r>
  <r>
    <n v="308828"/>
    <x v="238"/>
    <n v="1"/>
  </r>
  <r>
    <n v="308830"/>
    <x v="252"/>
    <n v="6"/>
  </r>
  <r>
    <n v="308834"/>
    <x v="158"/>
    <n v="2"/>
  </r>
  <r>
    <n v="308836"/>
    <x v="183"/>
    <n v="2"/>
  </r>
  <r>
    <n v="308840"/>
    <x v="161"/>
    <n v="3"/>
  </r>
  <r>
    <n v="308842"/>
    <x v="148"/>
    <n v="1"/>
  </r>
  <r>
    <n v="308844"/>
    <x v="75"/>
    <n v="2"/>
  </r>
  <r>
    <n v="308847"/>
    <x v="109"/>
    <n v="5"/>
  </r>
  <r>
    <n v="308849"/>
    <x v="253"/>
    <n v="2"/>
  </r>
  <r>
    <n v="308851"/>
    <x v="11"/>
    <n v="3"/>
  </r>
  <r>
    <n v="308852"/>
    <x v="89"/>
    <n v="1"/>
  </r>
  <r>
    <n v="308854"/>
    <x v="231"/>
    <n v="1"/>
  </r>
  <r>
    <n v="308857"/>
    <x v="233"/>
    <n v="5"/>
  </r>
  <r>
    <n v="308858"/>
    <x v="18"/>
    <n v="3"/>
  </r>
  <r>
    <n v="308859"/>
    <x v="140"/>
    <n v="2"/>
  </r>
  <r>
    <n v="308861"/>
    <x v="9"/>
    <n v="4"/>
  </r>
  <r>
    <n v="308862"/>
    <x v="8"/>
    <n v="1"/>
  </r>
  <r>
    <n v="308863"/>
    <x v="134"/>
    <n v="1"/>
  </r>
  <r>
    <n v="308865"/>
    <x v="8"/>
    <n v="3"/>
  </r>
  <r>
    <n v="308868"/>
    <x v="254"/>
    <n v="2"/>
  </r>
  <r>
    <n v="308871"/>
    <x v="51"/>
    <n v="2"/>
  </r>
  <r>
    <n v="308872"/>
    <x v="178"/>
    <n v="6"/>
  </r>
  <r>
    <n v="308873"/>
    <x v="171"/>
    <n v="2"/>
  </r>
  <r>
    <n v="308877"/>
    <x v="117"/>
    <n v="3"/>
  </r>
  <r>
    <n v="308879"/>
    <x v="15"/>
    <n v="1"/>
  </r>
  <r>
    <n v="308883"/>
    <x v="255"/>
    <n v="5"/>
  </r>
  <r>
    <n v="308886"/>
    <x v="256"/>
    <n v="3"/>
  </r>
  <r>
    <n v="308889"/>
    <x v="115"/>
    <n v="2"/>
  </r>
  <r>
    <n v="308890"/>
    <x v="202"/>
    <n v="5"/>
  </r>
  <r>
    <n v="308893"/>
    <x v="207"/>
    <n v="2"/>
  </r>
  <r>
    <n v="308895"/>
    <x v="257"/>
    <n v="5"/>
  </r>
  <r>
    <n v="308898"/>
    <x v="219"/>
    <n v="1"/>
  </r>
  <r>
    <n v="308903"/>
    <x v="239"/>
    <n v="5"/>
  </r>
  <r>
    <n v="308906"/>
    <x v="60"/>
    <n v="1"/>
  </r>
  <r>
    <n v="308911"/>
    <x v="143"/>
    <n v="3"/>
  </r>
  <r>
    <n v="308915"/>
    <x v="258"/>
    <n v="1"/>
  </r>
  <r>
    <n v="308917"/>
    <x v="259"/>
    <n v="2"/>
  </r>
  <r>
    <n v="308918"/>
    <x v="133"/>
    <n v="2"/>
  </r>
  <r>
    <n v="308923"/>
    <x v="259"/>
    <n v="1"/>
  </r>
  <r>
    <n v="308927"/>
    <x v="168"/>
    <n v="6"/>
  </r>
  <r>
    <n v="308930"/>
    <x v="63"/>
    <n v="2"/>
  </r>
  <r>
    <n v="308931"/>
    <x v="260"/>
    <n v="1"/>
  </r>
  <r>
    <n v="308934"/>
    <x v="210"/>
    <n v="1"/>
  </r>
  <r>
    <n v="308935"/>
    <x v="196"/>
    <n v="5"/>
  </r>
  <r>
    <n v="308937"/>
    <x v="248"/>
    <n v="6"/>
  </r>
  <r>
    <n v="308942"/>
    <x v="249"/>
    <n v="5"/>
  </r>
  <r>
    <n v="308946"/>
    <x v="261"/>
    <n v="3"/>
  </r>
  <r>
    <n v="308948"/>
    <x v="64"/>
    <n v="3"/>
  </r>
  <r>
    <n v="308952"/>
    <x v="20"/>
    <n v="3"/>
  </r>
  <r>
    <n v="308954"/>
    <x v="236"/>
    <n v="2"/>
  </r>
  <r>
    <n v="308957"/>
    <x v="213"/>
    <n v="4"/>
  </r>
  <r>
    <n v="308960"/>
    <x v="69"/>
    <n v="2"/>
  </r>
  <r>
    <n v="308964"/>
    <x v="78"/>
    <n v="5"/>
  </r>
  <r>
    <n v="308969"/>
    <x v="87"/>
    <n v="2"/>
  </r>
  <r>
    <n v="308973"/>
    <x v="187"/>
    <n v="1"/>
  </r>
  <r>
    <n v="308978"/>
    <x v="6"/>
    <n v="1"/>
  </r>
  <r>
    <n v="308980"/>
    <x v="40"/>
    <n v="3"/>
  </r>
  <r>
    <n v="308981"/>
    <x v="262"/>
    <n v="1"/>
  </r>
  <r>
    <n v="308986"/>
    <x v="216"/>
    <n v="2"/>
  </r>
  <r>
    <n v="308989"/>
    <x v="163"/>
    <n v="1"/>
  </r>
  <r>
    <n v="308991"/>
    <x v="121"/>
    <n v="1"/>
  </r>
  <r>
    <n v="308994"/>
    <x v="133"/>
    <n v="1"/>
  </r>
  <r>
    <n v="308998"/>
    <x v="178"/>
    <n v="6"/>
  </r>
  <r>
    <n v="309000"/>
    <x v="18"/>
    <n v="1"/>
  </r>
  <r>
    <n v="309002"/>
    <x v="171"/>
    <n v="7"/>
  </r>
  <r>
    <n v="309004"/>
    <x v="137"/>
    <n v="3"/>
  </r>
  <r>
    <n v="309005"/>
    <x v="4"/>
    <n v="3"/>
  </r>
  <r>
    <n v="309008"/>
    <x v="109"/>
    <n v="1"/>
  </r>
  <r>
    <n v="309012"/>
    <x v="107"/>
    <n v="5"/>
  </r>
  <r>
    <n v="309013"/>
    <x v="176"/>
    <n v="3"/>
  </r>
  <r>
    <n v="309015"/>
    <x v="6"/>
    <n v="2"/>
  </r>
  <r>
    <n v="309018"/>
    <x v="57"/>
    <n v="5"/>
  </r>
  <r>
    <n v="309019"/>
    <x v="46"/>
    <n v="2"/>
  </r>
  <r>
    <n v="309020"/>
    <x v="174"/>
    <n v="4"/>
  </r>
  <r>
    <n v="309021"/>
    <x v="263"/>
    <n v="5"/>
  </r>
  <r>
    <n v="309023"/>
    <x v="182"/>
    <n v="4"/>
  </r>
  <r>
    <n v="309026"/>
    <x v="264"/>
    <n v="2"/>
  </r>
  <r>
    <n v="309031"/>
    <x v="237"/>
    <n v="2"/>
  </r>
  <r>
    <n v="309036"/>
    <x v="265"/>
    <n v="5"/>
  </r>
  <r>
    <n v="309041"/>
    <x v="82"/>
    <n v="3"/>
  </r>
  <r>
    <n v="309043"/>
    <x v="133"/>
    <n v="1"/>
  </r>
  <r>
    <n v="309048"/>
    <x v="190"/>
    <n v="1"/>
  </r>
  <r>
    <n v="309051"/>
    <x v="52"/>
    <n v="1"/>
  </r>
  <r>
    <n v="309053"/>
    <x v="26"/>
    <n v="1"/>
  </r>
  <r>
    <n v="309057"/>
    <x v="56"/>
    <n v="5"/>
  </r>
  <r>
    <n v="309062"/>
    <x v="154"/>
    <n v="4"/>
  </r>
  <r>
    <n v="309063"/>
    <x v="167"/>
    <n v="4"/>
  </r>
  <r>
    <n v="309065"/>
    <x v="92"/>
    <n v="5"/>
  </r>
  <r>
    <n v="309070"/>
    <x v="113"/>
    <n v="2"/>
  </r>
  <r>
    <n v="309071"/>
    <x v="61"/>
    <n v="6"/>
  </r>
  <r>
    <n v="309075"/>
    <x v="39"/>
    <n v="3"/>
  </r>
  <r>
    <n v="309078"/>
    <x v="146"/>
    <n v="1"/>
  </r>
  <r>
    <n v="309082"/>
    <x v="6"/>
    <n v="3"/>
  </r>
  <r>
    <n v="309086"/>
    <x v="22"/>
    <n v="5"/>
  </r>
  <r>
    <n v="309087"/>
    <x v="226"/>
    <n v="1"/>
  </r>
  <r>
    <n v="309089"/>
    <x v="100"/>
    <n v="4"/>
  </r>
  <r>
    <n v="309090"/>
    <x v="142"/>
    <n v="1"/>
  </r>
  <r>
    <n v="309091"/>
    <x v="266"/>
    <n v="1"/>
  </r>
  <r>
    <n v="309094"/>
    <x v="31"/>
    <n v="1"/>
  </r>
  <r>
    <n v="309095"/>
    <x v="19"/>
    <n v="5"/>
  </r>
  <r>
    <n v="309096"/>
    <x v="217"/>
    <n v="2"/>
  </r>
  <r>
    <n v="309100"/>
    <x v="250"/>
    <n v="5"/>
  </r>
  <r>
    <n v="309104"/>
    <x v="210"/>
    <n v="1"/>
  </r>
  <r>
    <n v="309107"/>
    <x v="18"/>
    <n v="1"/>
  </r>
  <r>
    <n v="309109"/>
    <x v="185"/>
    <n v="2"/>
  </r>
  <r>
    <n v="309110"/>
    <x v="42"/>
    <n v="3"/>
  </r>
  <r>
    <n v="309113"/>
    <x v="267"/>
    <n v="3"/>
  </r>
  <r>
    <n v="309114"/>
    <x v="89"/>
    <n v="1"/>
  </r>
  <r>
    <n v="309115"/>
    <x v="254"/>
    <n v="1"/>
  </r>
  <r>
    <n v="309117"/>
    <x v="132"/>
    <n v="1"/>
  </r>
  <r>
    <n v="309118"/>
    <x v="268"/>
    <n v="5"/>
  </r>
  <r>
    <n v="309120"/>
    <x v="204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3">
  <r>
    <n v="307001"/>
    <x v="0"/>
    <x v="0"/>
  </r>
  <r>
    <n v="307002"/>
    <x v="1"/>
    <x v="1"/>
  </r>
  <r>
    <n v="307006"/>
    <x v="2"/>
    <x v="2"/>
  </r>
  <r>
    <n v="307011"/>
    <x v="3"/>
    <x v="2"/>
  </r>
  <r>
    <n v="307013"/>
    <x v="4"/>
    <x v="3"/>
  </r>
  <r>
    <n v="307014"/>
    <x v="5"/>
    <x v="4"/>
  </r>
  <r>
    <n v="307019"/>
    <x v="6"/>
    <x v="5"/>
  </r>
  <r>
    <n v="307022"/>
    <x v="7"/>
    <x v="0"/>
  </r>
  <r>
    <n v="307026"/>
    <x v="8"/>
    <x v="2"/>
  </r>
  <r>
    <n v="307030"/>
    <x v="9"/>
    <x v="4"/>
  </r>
  <r>
    <n v="307031"/>
    <x v="10"/>
    <x v="0"/>
  </r>
  <r>
    <n v="307033"/>
    <x v="11"/>
    <x v="4"/>
  </r>
  <r>
    <n v="307035"/>
    <x v="12"/>
    <x v="2"/>
  </r>
  <r>
    <n v="307040"/>
    <x v="13"/>
    <x v="5"/>
  </r>
  <r>
    <n v="307044"/>
    <x v="14"/>
    <x v="4"/>
  </r>
  <r>
    <n v="307047"/>
    <x v="15"/>
    <x v="2"/>
  </r>
  <r>
    <n v="307050"/>
    <x v="16"/>
    <x v="4"/>
  </r>
  <r>
    <n v="307053"/>
    <x v="17"/>
    <x v="5"/>
  </r>
  <r>
    <n v="307056"/>
    <x v="18"/>
    <x v="2"/>
  </r>
  <r>
    <n v="307060"/>
    <x v="19"/>
    <x v="4"/>
  </r>
  <r>
    <n v="307063"/>
    <x v="20"/>
    <x v="2"/>
  </r>
  <r>
    <n v="307068"/>
    <x v="21"/>
    <x v="2"/>
  </r>
  <r>
    <n v="307071"/>
    <x v="22"/>
    <x v="5"/>
  </r>
  <r>
    <n v="307075"/>
    <x v="23"/>
    <x v="2"/>
  </r>
  <r>
    <n v="307079"/>
    <x v="24"/>
    <x v="5"/>
  </r>
  <r>
    <n v="307081"/>
    <x v="25"/>
    <x v="3"/>
  </r>
  <r>
    <n v="307083"/>
    <x v="26"/>
    <x v="4"/>
  </r>
  <r>
    <n v="307086"/>
    <x v="27"/>
    <x v="4"/>
  </r>
  <r>
    <n v="307090"/>
    <x v="28"/>
    <x v="2"/>
  </r>
  <r>
    <n v="307091"/>
    <x v="29"/>
    <x v="0"/>
  </r>
  <r>
    <n v="307092"/>
    <x v="30"/>
    <x v="5"/>
  </r>
  <r>
    <n v="307094"/>
    <x v="31"/>
    <x v="1"/>
  </r>
  <r>
    <n v="307095"/>
    <x v="32"/>
    <x v="1"/>
  </r>
  <r>
    <n v="307099"/>
    <x v="33"/>
    <x v="2"/>
  </r>
  <r>
    <n v="307101"/>
    <x v="34"/>
    <x v="4"/>
  </r>
  <r>
    <n v="307102"/>
    <x v="35"/>
    <x v="2"/>
  </r>
  <r>
    <n v="307106"/>
    <x v="17"/>
    <x v="2"/>
  </r>
  <r>
    <n v="307111"/>
    <x v="36"/>
    <x v="5"/>
  </r>
  <r>
    <n v="307116"/>
    <x v="37"/>
    <x v="5"/>
  </r>
  <r>
    <n v="307117"/>
    <x v="38"/>
    <x v="2"/>
  </r>
  <r>
    <n v="307121"/>
    <x v="10"/>
    <x v="2"/>
  </r>
  <r>
    <n v="307122"/>
    <x v="39"/>
    <x v="2"/>
  </r>
  <r>
    <n v="307123"/>
    <x v="40"/>
    <x v="2"/>
  </r>
  <r>
    <n v="307124"/>
    <x v="41"/>
    <x v="4"/>
  </r>
  <r>
    <n v="307128"/>
    <x v="42"/>
    <x v="5"/>
  </r>
  <r>
    <n v="307131"/>
    <x v="43"/>
    <x v="1"/>
  </r>
  <r>
    <n v="307133"/>
    <x v="44"/>
    <x v="2"/>
  </r>
  <r>
    <n v="307134"/>
    <x v="37"/>
    <x v="2"/>
  </r>
  <r>
    <n v="307138"/>
    <x v="45"/>
    <x v="5"/>
  </r>
  <r>
    <n v="307143"/>
    <x v="46"/>
    <x v="1"/>
  </r>
  <r>
    <n v="307145"/>
    <x v="18"/>
    <x v="5"/>
  </r>
  <r>
    <n v="307149"/>
    <x v="47"/>
    <x v="0"/>
  </r>
  <r>
    <n v="307153"/>
    <x v="48"/>
    <x v="1"/>
  </r>
  <r>
    <n v="307154"/>
    <x v="49"/>
    <x v="0"/>
  </r>
  <r>
    <n v="307159"/>
    <x v="16"/>
    <x v="3"/>
  </r>
  <r>
    <n v="307161"/>
    <x v="42"/>
    <x v="0"/>
  </r>
  <r>
    <n v="307166"/>
    <x v="50"/>
    <x v="3"/>
  </r>
  <r>
    <n v="307169"/>
    <x v="51"/>
    <x v="3"/>
  </r>
  <r>
    <n v="307170"/>
    <x v="52"/>
    <x v="2"/>
  </r>
  <r>
    <n v="307172"/>
    <x v="53"/>
    <x v="5"/>
  </r>
  <r>
    <n v="307176"/>
    <x v="54"/>
    <x v="5"/>
  </r>
  <r>
    <n v="307178"/>
    <x v="46"/>
    <x v="5"/>
  </r>
  <r>
    <n v="307183"/>
    <x v="40"/>
    <x v="3"/>
  </r>
  <r>
    <n v="307186"/>
    <x v="55"/>
    <x v="5"/>
  </r>
  <r>
    <n v="307190"/>
    <x v="56"/>
    <x v="3"/>
  </r>
  <r>
    <n v="307192"/>
    <x v="57"/>
    <x v="1"/>
  </r>
  <r>
    <n v="307197"/>
    <x v="58"/>
    <x v="2"/>
  </r>
  <r>
    <n v="307200"/>
    <x v="59"/>
    <x v="3"/>
  </r>
  <r>
    <n v="307204"/>
    <x v="60"/>
    <x v="2"/>
  </r>
  <r>
    <n v="307207"/>
    <x v="2"/>
    <x v="5"/>
  </r>
  <r>
    <n v="307212"/>
    <x v="59"/>
    <x v="2"/>
  </r>
  <r>
    <n v="307215"/>
    <x v="61"/>
    <x v="2"/>
  </r>
  <r>
    <n v="307216"/>
    <x v="62"/>
    <x v="4"/>
  </r>
  <r>
    <n v="307217"/>
    <x v="63"/>
    <x v="4"/>
  </r>
  <r>
    <n v="307219"/>
    <x v="12"/>
    <x v="4"/>
  </r>
  <r>
    <n v="307223"/>
    <x v="64"/>
    <x v="2"/>
  </r>
  <r>
    <n v="307226"/>
    <x v="58"/>
    <x v="3"/>
  </r>
  <r>
    <n v="307227"/>
    <x v="65"/>
    <x v="3"/>
  </r>
  <r>
    <n v="307231"/>
    <x v="66"/>
    <x v="3"/>
  </r>
  <r>
    <n v="307233"/>
    <x v="67"/>
    <x v="2"/>
  </r>
  <r>
    <n v="307237"/>
    <x v="68"/>
    <x v="3"/>
  </r>
  <r>
    <n v="307239"/>
    <x v="51"/>
    <x v="3"/>
  </r>
  <r>
    <n v="307241"/>
    <x v="0"/>
    <x v="5"/>
  </r>
  <r>
    <n v="307245"/>
    <x v="69"/>
    <x v="4"/>
  </r>
  <r>
    <n v="307249"/>
    <x v="70"/>
    <x v="2"/>
  </r>
  <r>
    <n v="307252"/>
    <x v="55"/>
    <x v="0"/>
  </r>
  <r>
    <n v="307255"/>
    <x v="71"/>
    <x v="2"/>
  </r>
  <r>
    <n v="307257"/>
    <x v="72"/>
    <x v="5"/>
  </r>
  <r>
    <n v="307260"/>
    <x v="73"/>
    <x v="4"/>
  </r>
  <r>
    <n v="307261"/>
    <x v="66"/>
    <x v="1"/>
  </r>
  <r>
    <n v="307266"/>
    <x v="74"/>
    <x v="5"/>
  </r>
  <r>
    <n v="307267"/>
    <x v="75"/>
    <x v="2"/>
  </r>
  <r>
    <n v="307271"/>
    <x v="45"/>
    <x v="0"/>
  </r>
  <r>
    <n v="307276"/>
    <x v="76"/>
    <x v="3"/>
  </r>
  <r>
    <n v="307281"/>
    <x v="77"/>
    <x v="4"/>
  </r>
  <r>
    <n v="307284"/>
    <x v="76"/>
    <x v="4"/>
  </r>
  <r>
    <n v="307288"/>
    <x v="44"/>
    <x v="5"/>
  </r>
  <r>
    <n v="307289"/>
    <x v="78"/>
    <x v="4"/>
  </r>
  <r>
    <n v="307291"/>
    <x v="79"/>
    <x v="5"/>
  </r>
  <r>
    <n v="307295"/>
    <x v="50"/>
    <x v="5"/>
  </r>
  <r>
    <n v="307297"/>
    <x v="80"/>
    <x v="2"/>
  </r>
  <r>
    <n v="307299"/>
    <x v="81"/>
    <x v="4"/>
  </r>
  <r>
    <n v="307304"/>
    <x v="82"/>
    <x v="1"/>
  </r>
  <r>
    <n v="307305"/>
    <x v="83"/>
    <x v="5"/>
  </r>
  <r>
    <n v="307307"/>
    <x v="84"/>
    <x v="2"/>
  </r>
  <r>
    <n v="307308"/>
    <x v="85"/>
    <x v="1"/>
  </r>
  <r>
    <n v="307309"/>
    <x v="86"/>
    <x v="1"/>
  </r>
  <r>
    <n v="307313"/>
    <x v="81"/>
    <x v="3"/>
  </r>
  <r>
    <n v="307316"/>
    <x v="87"/>
    <x v="0"/>
  </r>
  <r>
    <n v="307320"/>
    <x v="88"/>
    <x v="5"/>
  </r>
  <r>
    <n v="307323"/>
    <x v="2"/>
    <x v="5"/>
  </r>
  <r>
    <n v="307328"/>
    <x v="24"/>
    <x v="3"/>
  </r>
  <r>
    <n v="307331"/>
    <x v="39"/>
    <x v="0"/>
  </r>
  <r>
    <n v="307336"/>
    <x v="89"/>
    <x v="0"/>
  </r>
  <r>
    <n v="307341"/>
    <x v="77"/>
    <x v="2"/>
  </r>
  <r>
    <n v="307346"/>
    <x v="2"/>
    <x v="2"/>
  </r>
  <r>
    <n v="307349"/>
    <x v="90"/>
    <x v="2"/>
  </r>
  <r>
    <n v="307351"/>
    <x v="91"/>
    <x v="2"/>
  </r>
  <r>
    <n v="307356"/>
    <x v="92"/>
    <x v="3"/>
  </r>
  <r>
    <n v="307357"/>
    <x v="93"/>
    <x v="0"/>
  </r>
  <r>
    <n v="307358"/>
    <x v="94"/>
    <x v="2"/>
  </r>
  <r>
    <n v="307363"/>
    <x v="6"/>
    <x v="3"/>
  </r>
  <r>
    <n v="307365"/>
    <x v="95"/>
    <x v="0"/>
  </r>
  <r>
    <n v="307370"/>
    <x v="96"/>
    <x v="5"/>
  </r>
  <r>
    <n v="307375"/>
    <x v="97"/>
    <x v="2"/>
  </r>
  <r>
    <n v="307377"/>
    <x v="98"/>
    <x v="2"/>
  </r>
  <r>
    <n v="307378"/>
    <x v="97"/>
    <x v="3"/>
  </r>
  <r>
    <n v="307379"/>
    <x v="99"/>
    <x v="2"/>
  </r>
  <r>
    <n v="307381"/>
    <x v="100"/>
    <x v="3"/>
  </r>
  <r>
    <n v="307385"/>
    <x v="101"/>
    <x v="3"/>
  </r>
  <r>
    <n v="307390"/>
    <x v="52"/>
    <x v="4"/>
  </r>
  <r>
    <n v="307395"/>
    <x v="102"/>
    <x v="2"/>
  </r>
  <r>
    <n v="307396"/>
    <x v="103"/>
    <x v="2"/>
  </r>
  <r>
    <n v="307400"/>
    <x v="104"/>
    <x v="2"/>
  </r>
  <r>
    <n v="307403"/>
    <x v="105"/>
    <x v="4"/>
  </r>
  <r>
    <n v="307406"/>
    <x v="106"/>
    <x v="2"/>
  </r>
  <r>
    <n v="307407"/>
    <x v="107"/>
    <x v="4"/>
  </r>
  <r>
    <n v="307412"/>
    <x v="108"/>
    <x v="3"/>
  </r>
  <r>
    <n v="307417"/>
    <x v="41"/>
    <x v="5"/>
  </r>
  <r>
    <n v="307418"/>
    <x v="109"/>
    <x v="5"/>
  </r>
  <r>
    <n v="307421"/>
    <x v="110"/>
    <x v="0"/>
  </r>
  <r>
    <n v="307425"/>
    <x v="111"/>
    <x v="2"/>
  </r>
  <r>
    <n v="307428"/>
    <x v="112"/>
    <x v="2"/>
  </r>
  <r>
    <n v="307429"/>
    <x v="113"/>
    <x v="2"/>
  </r>
  <r>
    <n v="307431"/>
    <x v="114"/>
    <x v="2"/>
  </r>
  <r>
    <n v="307432"/>
    <x v="115"/>
    <x v="2"/>
  </r>
  <r>
    <n v="307435"/>
    <x v="116"/>
    <x v="2"/>
  </r>
  <r>
    <n v="307440"/>
    <x v="21"/>
    <x v="5"/>
  </r>
  <r>
    <n v="307444"/>
    <x v="59"/>
    <x v="3"/>
  </r>
  <r>
    <n v="307449"/>
    <x v="57"/>
    <x v="4"/>
  </r>
  <r>
    <n v="307451"/>
    <x v="117"/>
    <x v="2"/>
  </r>
  <r>
    <n v="307453"/>
    <x v="118"/>
    <x v="2"/>
  </r>
  <r>
    <n v="307458"/>
    <x v="108"/>
    <x v="2"/>
  </r>
  <r>
    <n v="307459"/>
    <x v="119"/>
    <x v="4"/>
  </r>
  <r>
    <n v="307463"/>
    <x v="120"/>
    <x v="3"/>
  </r>
  <r>
    <n v="307467"/>
    <x v="121"/>
    <x v="4"/>
  </r>
  <r>
    <n v="307472"/>
    <x v="32"/>
    <x v="4"/>
  </r>
  <r>
    <n v="307476"/>
    <x v="122"/>
    <x v="0"/>
  </r>
  <r>
    <n v="307479"/>
    <x v="95"/>
    <x v="3"/>
  </r>
  <r>
    <n v="307482"/>
    <x v="123"/>
    <x v="3"/>
  </r>
  <r>
    <n v="307483"/>
    <x v="124"/>
    <x v="4"/>
  </r>
  <r>
    <n v="307486"/>
    <x v="53"/>
    <x v="0"/>
  </r>
  <r>
    <n v="307491"/>
    <x v="125"/>
    <x v="0"/>
  </r>
  <r>
    <n v="307495"/>
    <x v="126"/>
    <x v="2"/>
  </r>
  <r>
    <n v="307498"/>
    <x v="127"/>
    <x v="5"/>
  </r>
  <r>
    <n v="307500"/>
    <x v="128"/>
    <x v="2"/>
  </r>
  <r>
    <n v="307505"/>
    <x v="129"/>
    <x v="4"/>
  </r>
  <r>
    <n v="307509"/>
    <x v="83"/>
    <x v="2"/>
  </r>
  <r>
    <n v="307513"/>
    <x v="28"/>
    <x v="0"/>
  </r>
  <r>
    <n v="307517"/>
    <x v="29"/>
    <x v="3"/>
  </r>
  <r>
    <n v="307518"/>
    <x v="20"/>
    <x v="2"/>
  </r>
  <r>
    <n v="307523"/>
    <x v="54"/>
    <x v="4"/>
  </r>
  <r>
    <n v="307525"/>
    <x v="17"/>
    <x v="3"/>
  </r>
  <r>
    <n v="307526"/>
    <x v="114"/>
    <x v="4"/>
  </r>
  <r>
    <n v="307527"/>
    <x v="130"/>
    <x v="5"/>
  </r>
  <r>
    <n v="307529"/>
    <x v="131"/>
    <x v="4"/>
  </r>
  <r>
    <n v="307531"/>
    <x v="25"/>
    <x v="1"/>
  </r>
  <r>
    <n v="307532"/>
    <x v="132"/>
    <x v="0"/>
  </r>
  <r>
    <n v="307534"/>
    <x v="133"/>
    <x v="5"/>
  </r>
  <r>
    <n v="307537"/>
    <x v="69"/>
    <x v="4"/>
  </r>
  <r>
    <n v="307540"/>
    <x v="134"/>
    <x v="4"/>
  </r>
  <r>
    <n v="307545"/>
    <x v="82"/>
    <x v="6"/>
  </r>
  <r>
    <n v="307550"/>
    <x v="135"/>
    <x v="5"/>
  </r>
  <r>
    <n v="307555"/>
    <x v="15"/>
    <x v="5"/>
  </r>
  <r>
    <n v="307556"/>
    <x v="136"/>
    <x v="2"/>
  </r>
  <r>
    <n v="307561"/>
    <x v="93"/>
    <x v="3"/>
  </r>
  <r>
    <n v="307562"/>
    <x v="78"/>
    <x v="1"/>
  </r>
  <r>
    <n v="307563"/>
    <x v="51"/>
    <x v="4"/>
  </r>
  <r>
    <n v="307568"/>
    <x v="137"/>
    <x v="5"/>
  </r>
  <r>
    <n v="307573"/>
    <x v="138"/>
    <x v="2"/>
  </r>
  <r>
    <n v="307575"/>
    <x v="139"/>
    <x v="2"/>
  </r>
  <r>
    <n v="307578"/>
    <x v="111"/>
    <x v="5"/>
  </r>
  <r>
    <n v="307581"/>
    <x v="59"/>
    <x v="0"/>
  </r>
  <r>
    <n v="307582"/>
    <x v="140"/>
    <x v="4"/>
  </r>
  <r>
    <n v="307587"/>
    <x v="40"/>
    <x v="1"/>
  </r>
  <r>
    <n v="307592"/>
    <x v="141"/>
    <x v="2"/>
  </r>
  <r>
    <n v="307595"/>
    <x v="101"/>
    <x v="2"/>
  </r>
  <r>
    <n v="307596"/>
    <x v="33"/>
    <x v="3"/>
  </r>
  <r>
    <n v="307600"/>
    <x v="142"/>
    <x v="5"/>
  </r>
  <r>
    <n v="307601"/>
    <x v="39"/>
    <x v="4"/>
  </r>
  <r>
    <n v="307606"/>
    <x v="39"/>
    <x v="2"/>
  </r>
  <r>
    <n v="307611"/>
    <x v="143"/>
    <x v="4"/>
  </r>
  <r>
    <n v="307613"/>
    <x v="93"/>
    <x v="3"/>
  </r>
  <r>
    <n v="307614"/>
    <x v="144"/>
    <x v="3"/>
  </r>
  <r>
    <n v="307619"/>
    <x v="145"/>
    <x v="5"/>
  </r>
  <r>
    <n v="307621"/>
    <x v="110"/>
    <x v="0"/>
  </r>
  <r>
    <n v="307626"/>
    <x v="54"/>
    <x v="5"/>
  </r>
  <r>
    <n v="307628"/>
    <x v="61"/>
    <x v="2"/>
  </r>
  <r>
    <n v="307633"/>
    <x v="146"/>
    <x v="4"/>
  </r>
  <r>
    <n v="307634"/>
    <x v="81"/>
    <x v="2"/>
  </r>
  <r>
    <n v="307635"/>
    <x v="147"/>
    <x v="2"/>
  </r>
  <r>
    <n v="307640"/>
    <x v="44"/>
    <x v="2"/>
  </r>
  <r>
    <n v="307645"/>
    <x v="58"/>
    <x v="2"/>
  </r>
  <r>
    <n v="307650"/>
    <x v="117"/>
    <x v="0"/>
  </r>
  <r>
    <n v="307651"/>
    <x v="46"/>
    <x v="2"/>
  </r>
  <r>
    <n v="307653"/>
    <x v="10"/>
    <x v="2"/>
  </r>
  <r>
    <n v="307657"/>
    <x v="148"/>
    <x v="3"/>
  </r>
  <r>
    <n v="307661"/>
    <x v="31"/>
    <x v="2"/>
  </r>
  <r>
    <n v="307662"/>
    <x v="63"/>
    <x v="2"/>
  </r>
  <r>
    <n v="307664"/>
    <x v="149"/>
    <x v="5"/>
  </r>
  <r>
    <n v="307669"/>
    <x v="6"/>
    <x v="4"/>
  </r>
  <r>
    <n v="307674"/>
    <x v="150"/>
    <x v="2"/>
  </r>
  <r>
    <n v="307679"/>
    <x v="108"/>
    <x v="0"/>
  </r>
  <r>
    <n v="307683"/>
    <x v="151"/>
    <x v="0"/>
  </r>
  <r>
    <n v="307688"/>
    <x v="15"/>
    <x v="2"/>
  </r>
  <r>
    <n v="307691"/>
    <x v="7"/>
    <x v="2"/>
  </r>
  <r>
    <n v="307692"/>
    <x v="152"/>
    <x v="2"/>
  </r>
  <r>
    <n v="307696"/>
    <x v="153"/>
    <x v="4"/>
  </r>
  <r>
    <n v="307699"/>
    <x v="29"/>
    <x v="2"/>
  </r>
  <r>
    <n v="307703"/>
    <x v="154"/>
    <x v="3"/>
  </r>
  <r>
    <n v="307708"/>
    <x v="84"/>
    <x v="2"/>
  </r>
  <r>
    <n v="307712"/>
    <x v="131"/>
    <x v="5"/>
  </r>
  <r>
    <n v="307714"/>
    <x v="86"/>
    <x v="4"/>
  </r>
  <r>
    <n v="307719"/>
    <x v="11"/>
    <x v="5"/>
  </r>
  <r>
    <n v="307721"/>
    <x v="155"/>
    <x v="4"/>
  </r>
  <r>
    <n v="307723"/>
    <x v="156"/>
    <x v="1"/>
  </r>
  <r>
    <n v="307724"/>
    <x v="157"/>
    <x v="4"/>
  </r>
  <r>
    <n v="307728"/>
    <x v="63"/>
    <x v="4"/>
  </r>
  <r>
    <n v="307732"/>
    <x v="39"/>
    <x v="0"/>
  </r>
  <r>
    <n v="307737"/>
    <x v="158"/>
    <x v="5"/>
  </r>
  <r>
    <n v="307740"/>
    <x v="159"/>
    <x v="2"/>
  </r>
  <r>
    <n v="307742"/>
    <x v="160"/>
    <x v="2"/>
  </r>
  <r>
    <n v="307743"/>
    <x v="161"/>
    <x v="2"/>
  </r>
  <r>
    <n v="307745"/>
    <x v="92"/>
    <x v="2"/>
  </r>
  <r>
    <n v="307748"/>
    <x v="162"/>
    <x v="2"/>
  </r>
  <r>
    <n v="307749"/>
    <x v="133"/>
    <x v="0"/>
  </r>
  <r>
    <n v="307751"/>
    <x v="77"/>
    <x v="4"/>
  </r>
  <r>
    <n v="307754"/>
    <x v="107"/>
    <x v="5"/>
  </r>
  <r>
    <n v="307759"/>
    <x v="163"/>
    <x v="2"/>
  </r>
  <r>
    <n v="307763"/>
    <x v="27"/>
    <x v="1"/>
  </r>
  <r>
    <n v="307764"/>
    <x v="164"/>
    <x v="1"/>
  </r>
  <r>
    <n v="307768"/>
    <x v="126"/>
    <x v="2"/>
  </r>
  <r>
    <n v="307769"/>
    <x v="97"/>
    <x v="5"/>
  </r>
  <r>
    <n v="307772"/>
    <x v="57"/>
    <x v="0"/>
  </r>
  <r>
    <n v="307774"/>
    <x v="97"/>
    <x v="0"/>
  </r>
  <r>
    <n v="307778"/>
    <x v="150"/>
    <x v="2"/>
  </r>
  <r>
    <n v="307779"/>
    <x v="71"/>
    <x v="2"/>
  </r>
  <r>
    <n v="307782"/>
    <x v="100"/>
    <x v="4"/>
  </r>
  <r>
    <n v="307787"/>
    <x v="13"/>
    <x v="2"/>
  </r>
  <r>
    <n v="307791"/>
    <x v="22"/>
    <x v="2"/>
  </r>
  <r>
    <n v="307792"/>
    <x v="85"/>
    <x v="4"/>
  </r>
  <r>
    <n v="307795"/>
    <x v="165"/>
    <x v="2"/>
  </r>
  <r>
    <n v="307800"/>
    <x v="166"/>
    <x v="2"/>
  </r>
  <r>
    <n v="307803"/>
    <x v="144"/>
    <x v="4"/>
  </r>
  <r>
    <n v="307808"/>
    <x v="69"/>
    <x v="5"/>
  </r>
  <r>
    <n v="307811"/>
    <x v="167"/>
    <x v="2"/>
  </r>
  <r>
    <n v="307816"/>
    <x v="58"/>
    <x v="2"/>
  </r>
  <r>
    <n v="307819"/>
    <x v="166"/>
    <x v="5"/>
  </r>
  <r>
    <n v="307822"/>
    <x v="168"/>
    <x v="2"/>
  </r>
  <r>
    <n v="307826"/>
    <x v="82"/>
    <x v="5"/>
  </r>
  <r>
    <n v="307827"/>
    <x v="147"/>
    <x v="2"/>
  </r>
  <r>
    <n v="307830"/>
    <x v="169"/>
    <x v="2"/>
  </r>
  <r>
    <n v="307834"/>
    <x v="170"/>
    <x v="4"/>
  </r>
  <r>
    <n v="307837"/>
    <x v="171"/>
    <x v="4"/>
  </r>
  <r>
    <n v="307838"/>
    <x v="73"/>
    <x v="4"/>
  </r>
  <r>
    <n v="307843"/>
    <x v="118"/>
    <x v="1"/>
  </r>
  <r>
    <n v="307847"/>
    <x v="83"/>
    <x v="2"/>
  </r>
  <r>
    <n v="307850"/>
    <x v="84"/>
    <x v="5"/>
  </r>
  <r>
    <n v="307853"/>
    <x v="172"/>
    <x v="5"/>
  </r>
  <r>
    <n v="307856"/>
    <x v="9"/>
    <x v="2"/>
  </r>
  <r>
    <n v="307860"/>
    <x v="173"/>
    <x v="5"/>
  </r>
  <r>
    <n v="307863"/>
    <x v="156"/>
    <x v="5"/>
  </r>
  <r>
    <n v="307867"/>
    <x v="174"/>
    <x v="2"/>
  </r>
  <r>
    <n v="307869"/>
    <x v="175"/>
    <x v="5"/>
  </r>
  <r>
    <n v="307872"/>
    <x v="176"/>
    <x v="2"/>
  </r>
  <r>
    <n v="307873"/>
    <x v="3"/>
    <x v="4"/>
  </r>
  <r>
    <n v="307876"/>
    <x v="120"/>
    <x v="4"/>
  </r>
  <r>
    <n v="307877"/>
    <x v="59"/>
    <x v="2"/>
  </r>
  <r>
    <n v="307881"/>
    <x v="70"/>
    <x v="4"/>
  </r>
  <r>
    <n v="307884"/>
    <x v="177"/>
    <x v="2"/>
  </r>
  <r>
    <n v="307885"/>
    <x v="139"/>
    <x v="5"/>
  </r>
  <r>
    <n v="307888"/>
    <x v="178"/>
    <x v="5"/>
  </r>
  <r>
    <n v="307891"/>
    <x v="55"/>
    <x v="3"/>
  </r>
  <r>
    <n v="307894"/>
    <x v="136"/>
    <x v="2"/>
  </r>
  <r>
    <n v="307897"/>
    <x v="179"/>
    <x v="1"/>
  </r>
  <r>
    <n v="307901"/>
    <x v="92"/>
    <x v="0"/>
  </r>
  <r>
    <n v="307903"/>
    <x v="180"/>
    <x v="5"/>
  </r>
  <r>
    <n v="307908"/>
    <x v="95"/>
    <x v="2"/>
  </r>
  <r>
    <n v="307911"/>
    <x v="118"/>
    <x v="4"/>
  </r>
  <r>
    <n v="307915"/>
    <x v="181"/>
    <x v="0"/>
  </r>
  <r>
    <n v="307916"/>
    <x v="182"/>
    <x v="1"/>
  </r>
  <r>
    <n v="307920"/>
    <x v="183"/>
    <x v="3"/>
  </r>
  <r>
    <n v="307922"/>
    <x v="153"/>
    <x v="2"/>
  </r>
  <r>
    <n v="307923"/>
    <x v="184"/>
    <x v="5"/>
  </r>
  <r>
    <n v="307928"/>
    <x v="185"/>
    <x v="1"/>
  </r>
  <r>
    <n v="307932"/>
    <x v="99"/>
    <x v="6"/>
  </r>
  <r>
    <n v="307937"/>
    <x v="9"/>
    <x v="2"/>
  </r>
  <r>
    <n v="307939"/>
    <x v="26"/>
    <x v="5"/>
  </r>
  <r>
    <n v="307940"/>
    <x v="149"/>
    <x v="2"/>
  </r>
  <r>
    <n v="307941"/>
    <x v="142"/>
    <x v="4"/>
  </r>
  <r>
    <n v="307942"/>
    <x v="84"/>
    <x v="2"/>
  </r>
  <r>
    <n v="307946"/>
    <x v="186"/>
    <x v="4"/>
  </r>
  <r>
    <n v="307949"/>
    <x v="187"/>
    <x v="4"/>
  </r>
  <r>
    <n v="307954"/>
    <x v="188"/>
    <x v="4"/>
  </r>
  <r>
    <n v="307957"/>
    <x v="189"/>
    <x v="0"/>
  </r>
  <r>
    <n v="307962"/>
    <x v="190"/>
    <x v="2"/>
  </r>
  <r>
    <n v="307964"/>
    <x v="26"/>
    <x v="5"/>
  </r>
  <r>
    <n v="307969"/>
    <x v="110"/>
    <x v="2"/>
  </r>
  <r>
    <n v="307971"/>
    <x v="191"/>
    <x v="2"/>
  </r>
  <r>
    <n v="307972"/>
    <x v="56"/>
    <x v="2"/>
  </r>
  <r>
    <n v="307976"/>
    <x v="164"/>
    <x v="4"/>
  </r>
  <r>
    <n v="307979"/>
    <x v="103"/>
    <x v="0"/>
  </r>
  <r>
    <n v="307983"/>
    <x v="184"/>
    <x v="4"/>
  </r>
  <r>
    <n v="307985"/>
    <x v="192"/>
    <x v="5"/>
  </r>
  <r>
    <n v="307986"/>
    <x v="108"/>
    <x v="5"/>
  </r>
  <r>
    <n v="307988"/>
    <x v="152"/>
    <x v="4"/>
  </r>
  <r>
    <n v="307990"/>
    <x v="10"/>
    <x v="2"/>
  </r>
  <r>
    <n v="307993"/>
    <x v="193"/>
    <x v="2"/>
  </r>
  <r>
    <n v="307998"/>
    <x v="63"/>
    <x v="5"/>
  </r>
  <r>
    <n v="308000"/>
    <x v="194"/>
    <x v="1"/>
  </r>
  <r>
    <n v="308001"/>
    <x v="122"/>
    <x v="5"/>
  </r>
  <r>
    <n v="308004"/>
    <x v="159"/>
    <x v="4"/>
  </r>
  <r>
    <n v="308008"/>
    <x v="195"/>
    <x v="5"/>
  </r>
  <r>
    <n v="308011"/>
    <x v="55"/>
    <x v="0"/>
  </r>
  <r>
    <n v="308013"/>
    <x v="123"/>
    <x v="3"/>
  </r>
  <r>
    <n v="308018"/>
    <x v="195"/>
    <x v="0"/>
  </r>
  <r>
    <n v="308023"/>
    <x v="2"/>
    <x v="2"/>
  </r>
  <r>
    <n v="308024"/>
    <x v="196"/>
    <x v="2"/>
  </r>
  <r>
    <n v="308029"/>
    <x v="159"/>
    <x v="4"/>
  </r>
  <r>
    <n v="308032"/>
    <x v="197"/>
    <x v="5"/>
  </r>
  <r>
    <n v="308035"/>
    <x v="198"/>
    <x v="2"/>
  </r>
  <r>
    <n v="308040"/>
    <x v="199"/>
    <x v="4"/>
  </r>
  <r>
    <n v="308041"/>
    <x v="200"/>
    <x v="5"/>
  </r>
  <r>
    <n v="308046"/>
    <x v="17"/>
    <x v="3"/>
  </r>
  <r>
    <n v="308048"/>
    <x v="54"/>
    <x v="5"/>
  </r>
  <r>
    <n v="308050"/>
    <x v="111"/>
    <x v="2"/>
  </r>
  <r>
    <n v="308051"/>
    <x v="201"/>
    <x v="0"/>
  </r>
  <r>
    <n v="308055"/>
    <x v="157"/>
    <x v="4"/>
  </r>
  <r>
    <n v="308059"/>
    <x v="30"/>
    <x v="4"/>
  </r>
  <r>
    <n v="308063"/>
    <x v="172"/>
    <x v="3"/>
  </r>
  <r>
    <n v="308066"/>
    <x v="202"/>
    <x v="5"/>
  </r>
  <r>
    <n v="308067"/>
    <x v="203"/>
    <x v="2"/>
  </r>
  <r>
    <n v="308068"/>
    <x v="11"/>
    <x v="2"/>
  </r>
  <r>
    <n v="308073"/>
    <x v="23"/>
    <x v="1"/>
  </r>
  <r>
    <n v="308077"/>
    <x v="204"/>
    <x v="0"/>
  </r>
  <r>
    <n v="308082"/>
    <x v="205"/>
    <x v="2"/>
  </r>
  <r>
    <n v="308084"/>
    <x v="206"/>
    <x v="2"/>
  </r>
  <r>
    <n v="308085"/>
    <x v="85"/>
    <x v="3"/>
  </r>
  <r>
    <n v="308086"/>
    <x v="207"/>
    <x v="4"/>
  </r>
  <r>
    <n v="308089"/>
    <x v="195"/>
    <x v="4"/>
  </r>
  <r>
    <n v="308090"/>
    <x v="187"/>
    <x v="0"/>
  </r>
  <r>
    <n v="308095"/>
    <x v="102"/>
    <x v="4"/>
  </r>
  <r>
    <n v="308100"/>
    <x v="208"/>
    <x v="5"/>
  </r>
  <r>
    <n v="308101"/>
    <x v="5"/>
    <x v="0"/>
  </r>
  <r>
    <n v="308106"/>
    <x v="70"/>
    <x v="5"/>
  </r>
  <r>
    <n v="308111"/>
    <x v="172"/>
    <x v="2"/>
  </r>
  <r>
    <n v="308116"/>
    <x v="106"/>
    <x v="4"/>
  </r>
  <r>
    <n v="308118"/>
    <x v="88"/>
    <x v="0"/>
  </r>
  <r>
    <n v="308122"/>
    <x v="13"/>
    <x v="2"/>
  </r>
  <r>
    <n v="308127"/>
    <x v="183"/>
    <x v="5"/>
  </r>
  <r>
    <n v="308129"/>
    <x v="209"/>
    <x v="4"/>
  </r>
  <r>
    <n v="308133"/>
    <x v="210"/>
    <x v="4"/>
  </r>
  <r>
    <n v="308138"/>
    <x v="91"/>
    <x v="5"/>
  </r>
  <r>
    <n v="308141"/>
    <x v="94"/>
    <x v="2"/>
  </r>
  <r>
    <n v="308143"/>
    <x v="139"/>
    <x v="5"/>
  </r>
  <r>
    <n v="308144"/>
    <x v="211"/>
    <x v="5"/>
  </r>
  <r>
    <n v="308147"/>
    <x v="133"/>
    <x v="2"/>
  </r>
  <r>
    <n v="308150"/>
    <x v="138"/>
    <x v="5"/>
  </r>
  <r>
    <n v="308155"/>
    <x v="98"/>
    <x v="2"/>
  </r>
  <r>
    <n v="308159"/>
    <x v="143"/>
    <x v="2"/>
  </r>
  <r>
    <n v="308160"/>
    <x v="211"/>
    <x v="2"/>
  </r>
  <r>
    <n v="308162"/>
    <x v="89"/>
    <x v="5"/>
  </r>
  <r>
    <n v="308163"/>
    <x v="182"/>
    <x v="0"/>
  </r>
  <r>
    <n v="308164"/>
    <x v="212"/>
    <x v="5"/>
  </r>
  <r>
    <n v="308169"/>
    <x v="194"/>
    <x v="1"/>
  </r>
  <r>
    <n v="308173"/>
    <x v="213"/>
    <x v="3"/>
  </r>
  <r>
    <n v="308175"/>
    <x v="214"/>
    <x v="3"/>
  </r>
  <r>
    <n v="308177"/>
    <x v="215"/>
    <x v="3"/>
  </r>
  <r>
    <n v="308179"/>
    <x v="95"/>
    <x v="0"/>
  </r>
  <r>
    <n v="308181"/>
    <x v="171"/>
    <x v="2"/>
  </r>
  <r>
    <n v="308185"/>
    <x v="100"/>
    <x v="4"/>
  </r>
  <r>
    <n v="308189"/>
    <x v="150"/>
    <x v="2"/>
  </r>
  <r>
    <n v="308192"/>
    <x v="126"/>
    <x v="5"/>
  </r>
  <r>
    <n v="308194"/>
    <x v="154"/>
    <x v="1"/>
  </r>
  <r>
    <n v="308198"/>
    <x v="216"/>
    <x v="2"/>
  </r>
  <r>
    <n v="308201"/>
    <x v="84"/>
    <x v="0"/>
  </r>
  <r>
    <n v="308205"/>
    <x v="137"/>
    <x v="2"/>
  </r>
  <r>
    <n v="308206"/>
    <x v="85"/>
    <x v="5"/>
  </r>
  <r>
    <n v="308211"/>
    <x v="217"/>
    <x v="2"/>
  </r>
  <r>
    <n v="308213"/>
    <x v="215"/>
    <x v="4"/>
  </r>
  <r>
    <n v="308217"/>
    <x v="217"/>
    <x v="3"/>
  </r>
  <r>
    <n v="308222"/>
    <x v="126"/>
    <x v="0"/>
  </r>
  <r>
    <n v="308223"/>
    <x v="4"/>
    <x v="1"/>
  </r>
  <r>
    <n v="308224"/>
    <x v="61"/>
    <x v="4"/>
  </r>
  <r>
    <n v="308226"/>
    <x v="148"/>
    <x v="5"/>
  </r>
  <r>
    <n v="308231"/>
    <x v="192"/>
    <x v="1"/>
  </r>
  <r>
    <n v="308235"/>
    <x v="62"/>
    <x v="5"/>
  </r>
  <r>
    <n v="308238"/>
    <x v="192"/>
    <x v="4"/>
  </r>
  <r>
    <n v="308241"/>
    <x v="81"/>
    <x v="5"/>
  </r>
  <r>
    <n v="308246"/>
    <x v="218"/>
    <x v="2"/>
  </r>
  <r>
    <n v="308249"/>
    <x v="175"/>
    <x v="2"/>
  </r>
  <r>
    <n v="308252"/>
    <x v="219"/>
    <x v="5"/>
  </r>
  <r>
    <n v="308255"/>
    <x v="156"/>
    <x v="2"/>
  </r>
  <r>
    <n v="308256"/>
    <x v="220"/>
    <x v="3"/>
  </r>
  <r>
    <n v="308257"/>
    <x v="221"/>
    <x v="2"/>
  </r>
  <r>
    <n v="308258"/>
    <x v="169"/>
    <x v="3"/>
  </r>
  <r>
    <n v="308263"/>
    <x v="65"/>
    <x v="3"/>
  </r>
  <r>
    <n v="308266"/>
    <x v="84"/>
    <x v="3"/>
  </r>
  <r>
    <n v="308267"/>
    <x v="203"/>
    <x v="2"/>
  </r>
  <r>
    <n v="308270"/>
    <x v="163"/>
    <x v="0"/>
  </r>
  <r>
    <n v="308272"/>
    <x v="217"/>
    <x v="3"/>
  </r>
  <r>
    <n v="308274"/>
    <x v="154"/>
    <x v="3"/>
  </r>
  <r>
    <n v="308275"/>
    <x v="222"/>
    <x v="1"/>
  </r>
  <r>
    <n v="308278"/>
    <x v="223"/>
    <x v="1"/>
  </r>
  <r>
    <n v="308279"/>
    <x v="224"/>
    <x v="2"/>
  </r>
  <r>
    <n v="308280"/>
    <x v="158"/>
    <x v="2"/>
  </r>
  <r>
    <n v="308282"/>
    <x v="51"/>
    <x v="1"/>
  </r>
  <r>
    <n v="308286"/>
    <x v="202"/>
    <x v="3"/>
  </r>
  <r>
    <n v="308288"/>
    <x v="225"/>
    <x v="5"/>
  </r>
  <r>
    <n v="308293"/>
    <x v="157"/>
    <x v="4"/>
  </r>
  <r>
    <n v="308294"/>
    <x v="167"/>
    <x v="4"/>
  </r>
  <r>
    <n v="308299"/>
    <x v="85"/>
    <x v="4"/>
  </r>
  <r>
    <n v="308304"/>
    <x v="123"/>
    <x v="2"/>
  </r>
  <r>
    <n v="308308"/>
    <x v="42"/>
    <x v="2"/>
  </r>
  <r>
    <n v="308313"/>
    <x v="178"/>
    <x v="0"/>
  </r>
  <r>
    <n v="308318"/>
    <x v="190"/>
    <x v="0"/>
  </r>
  <r>
    <n v="308323"/>
    <x v="67"/>
    <x v="0"/>
  </r>
  <r>
    <n v="308328"/>
    <x v="159"/>
    <x v="0"/>
  </r>
  <r>
    <n v="308333"/>
    <x v="91"/>
    <x v="5"/>
  </r>
  <r>
    <n v="308337"/>
    <x v="155"/>
    <x v="5"/>
  </r>
  <r>
    <n v="308340"/>
    <x v="121"/>
    <x v="0"/>
  </r>
  <r>
    <n v="308342"/>
    <x v="7"/>
    <x v="4"/>
  </r>
  <r>
    <n v="308347"/>
    <x v="137"/>
    <x v="5"/>
  </r>
  <r>
    <n v="308348"/>
    <x v="226"/>
    <x v="3"/>
  </r>
  <r>
    <n v="308352"/>
    <x v="227"/>
    <x v="3"/>
  </r>
  <r>
    <n v="308353"/>
    <x v="228"/>
    <x v="4"/>
  </r>
  <r>
    <n v="308356"/>
    <x v="192"/>
    <x v="4"/>
  </r>
  <r>
    <n v="308361"/>
    <x v="174"/>
    <x v="1"/>
  </r>
  <r>
    <n v="308363"/>
    <x v="229"/>
    <x v="4"/>
  </r>
  <r>
    <n v="308368"/>
    <x v="71"/>
    <x v="4"/>
  </r>
  <r>
    <n v="308369"/>
    <x v="155"/>
    <x v="5"/>
  </r>
  <r>
    <n v="308372"/>
    <x v="28"/>
    <x v="2"/>
  </r>
  <r>
    <n v="308374"/>
    <x v="230"/>
    <x v="4"/>
  </r>
  <r>
    <n v="308379"/>
    <x v="55"/>
    <x v="5"/>
  </r>
  <r>
    <n v="308380"/>
    <x v="231"/>
    <x v="5"/>
  </r>
  <r>
    <n v="308382"/>
    <x v="136"/>
    <x v="2"/>
  </r>
  <r>
    <n v="308387"/>
    <x v="61"/>
    <x v="0"/>
  </r>
  <r>
    <n v="308392"/>
    <x v="150"/>
    <x v="3"/>
  </r>
  <r>
    <n v="308397"/>
    <x v="232"/>
    <x v="0"/>
  </r>
  <r>
    <n v="308399"/>
    <x v="106"/>
    <x v="2"/>
  </r>
  <r>
    <n v="308400"/>
    <x v="233"/>
    <x v="3"/>
  </r>
  <r>
    <n v="308405"/>
    <x v="160"/>
    <x v="0"/>
  </r>
  <r>
    <n v="308410"/>
    <x v="234"/>
    <x v="5"/>
  </r>
  <r>
    <n v="308414"/>
    <x v="198"/>
    <x v="1"/>
  </r>
  <r>
    <n v="308416"/>
    <x v="12"/>
    <x v="1"/>
  </r>
  <r>
    <n v="308420"/>
    <x v="52"/>
    <x v="2"/>
  </r>
  <r>
    <n v="308423"/>
    <x v="196"/>
    <x v="2"/>
  </r>
  <r>
    <n v="308426"/>
    <x v="170"/>
    <x v="4"/>
  </r>
  <r>
    <n v="308429"/>
    <x v="235"/>
    <x v="4"/>
  </r>
  <r>
    <n v="308431"/>
    <x v="146"/>
    <x v="5"/>
  </r>
  <r>
    <n v="308433"/>
    <x v="52"/>
    <x v="4"/>
  </r>
  <r>
    <n v="308438"/>
    <x v="83"/>
    <x v="2"/>
  </r>
  <r>
    <n v="308439"/>
    <x v="164"/>
    <x v="2"/>
  </r>
  <r>
    <n v="308442"/>
    <x v="146"/>
    <x v="0"/>
  </r>
  <r>
    <n v="308445"/>
    <x v="92"/>
    <x v="3"/>
  </r>
  <r>
    <n v="308446"/>
    <x v="24"/>
    <x v="2"/>
  </r>
  <r>
    <n v="308447"/>
    <x v="119"/>
    <x v="0"/>
  </r>
  <r>
    <n v="308451"/>
    <x v="197"/>
    <x v="5"/>
  </r>
  <r>
    <n v="308456"/>
    <x v="236"/>
    <x v="1"/>
  </r>
  <r>
    <n v="308461"/>
    <x v="237"/>
    <x v="4"/>
  </r>
  <r>
    <n v="308465"/>
    <x v="238"/>
    <x v="5"/>
  </r>
  <r>
    <n v="308468"/>
    <x v="136"/>
    <x v="3"/>
  </r>
  <r>
    <n v="308473"/>
    <x v="0"/>
    <x v="0"/>
  </r>
  <r>
    <n v="308474"/>
    <x v="178"/>
    <x v="3"/>
  </r>
  <r>
    <n v="308475"/>
    <x v="239"/>
    <x v="4"/>
  </r>
  <r>
    <n v="308479"/>
    <x v="239"/>
    <x v="1"/>
  </r>
  <r>
    <n v="308480"/>
    <x v="110"/>
    <x v="3"/>
  </r>
  <r>
    <n v="308481"/>
    <x v="116"/>
    <x v="0"/>
  </r>
  <r>
    <n v="308483"/>
    <x v="240"/>
    <x v="3"/>
  </r>
  <r>
    <n v="308488"/>
    <x v="241"/>
    <x v="0"/>
  </r>
  <r>
    <n v="308493"/>
    <x v="147"/>
    <x v="5"/>
  </r>
  <r>
    <n v="308496"/>
    <x v="173"/>
    <x v="2"/>
  </r>
  <r>
    <n v="308497"/>
    <x v="44"/>
    <x v="2"/>
  </r>
  <r>
    <n v="308498"/>
    <x v="162"/>
    <x v="0"/>
  </r>
  <r>
    <n v="308502"/>
    <x v="207"/>
    <x v="2"/>
  </r>
  <r>
    <n v="308506"/>
    <x v="34"/>
    <x v="5"/>
  </r>
  <r>
    <n v="308510"/>
    <x v="170"/>
    <x v="4"/>
  </r>
  <r>
    <n v="308513"/>
    <x v="176"/>
    <x v="4"/>
  </r>
  <r>
    <n v="308514"/>
    <x v="113"/>
    <x v="3"/>
  </r>
  <r>
    <n v="308515"/>
    <x v="242"/>
    <x v="1"/>
  </r>
  <r>
    <n v="308520"/>
    <x v="20"/>
    <x v="2"/>
  </r>
  <r>
    <n v="308524"/>
    <x v="33"/>
    <x v="0"/>
  </r>
  <r>
    <n v="308525"/>
    <x v="28"/>
    <x v="2"/>
  </r>
  <r>
    <n v="308526"/>
    <x v="135"/>
    <x v="5"/>
  </r>
  <r>
    <n v="308531"/>
    <x v="51"/>
    <x v="5"/>
  </r>
  <r>
    <n v="308534"/>
    <x v="143"/>
    <x v="0"/>
  </r>
  <r>
    <n v="308536"/>
    <x v="191"/>
    <x v="3"/>
  </r>
  <r>
    <n v="308540"/>
    <x v="121"/>
    <x v="5"/>
  </r>
  <r>
    <n v="308545"/>
    <x v="38"/>
    <x v="2"/>
  </r>
  <r>
    <n v="308549"/>
    <x v="31"/>
    <x v="2"/>
  </r>
  <r>
    <n v="308551"/>
    <x v="158"/>
    <x v="0"/>
  </r>
  <r>
    <n v="308555"/>
    <x v="45"/>
    <x v="2"/>
  </r>
  <r>
    <n v="308559"/>
    <x v="201"/>
    <x v="2"/>
  </r>
  <r>
    <n v="308564"/>
    <x v="44"/>
    <x v="6"/>
  </r>
  <r>
    <n v="308565"/>
    <x v="141"/>
    <x v="2"/>
  </r>
  <r>
    <n v="308569"/>
    <x v="237"/>
    <x v="2"/>
  </r>
  <r>
    <n v="308572"/>
    <x v="140"/>
    <x v="2"/>
  </r>
  <r>
    <n v="308576"/>
    <x v="141"/>
    <x v="4"/>
  </r>
  <r>
    <n v="308579"/>
    <x v="243"/>
    <x v="2"/>
  </r>
  <r>
    <n v="308582"/>
    <x v="75"/>
    <x v="4"/>
  </r>
  <r>
    <n v="308585"/>
    <x v="110"/>
    <x v="5"/>
  </r>
  <r>
    <n v="308589"/>
    <x v="95"/>
    <x v="5"/>
  </r>
  <r>
    <n v="308594"/>
    <x v="125"/>
    <x v="5"/>
  </r>
  <r>
    <n v="308599"/>
    <x v="227"/>
    <x v="5"/>
  </r>
  <r>
    <n v="308603"/>
    <x v="244"/>
    <x v="2"/>
  </r>
  <r>
    <n v="308605"/>
    <x v="217"/>
    <x v="2"/>
  </r>
  <r>
    <n v="308608"/>
    <x v="32"/>
    <x v="2"/>
  </r>
  <r>
    <n v="308612"/>
    <x v="12"/>
    <x v="0"/>
  </r>
  <r>
    <n v="308616"/>
    <x v="42"/>
    <x v="3"/>
  </r>
  <r>
    <n v="308621"/>
    <x v="122"/>
    <x v="1"/>
  </r>
  <r>
    <n v="308623"/>
    <x v="93"/>
    <x v="4"/>
  </r>
  <r>
    <n v="308625"/>
    <x v="204"/>
    <x v="6"/>
  </r>
  <r>
    <n v="308626"/>
    <x v="200"/>
    <x v="6"/>
  </r>
  <r>
    <n v="308629"/>
    <x v="91"/>
    <x v="2"/>
  </r>
  <r>
    <n v="308630"/>
    <x v="48"/>
    <x v="3"/>
  </r>
  <r>
    <n v="308633"/>
    <x v="20"/>
    <x v="5"/>
  </r>
  <r>
    <n v="308634"/>
    <x v="141"/>
    <x v="2"/>
  </r>
  <r>
    <n v="308635"/>
    <x v="204"/>
    <x v="1"/>
  </r>
  <r>
    <n v="308636"/>
    <x v="205"/>
    <x v="4"/>
  </r>
  <r>
    <n v="308641"/>
    <x v="85"/>
    <x v="5"/>
  </r>
  <r>
    <n v="308642"/>
    <x v="164"/>
    <x v="0"/>
  </r>
  <r>
    <n v="308643"/>
    <x v="174"/>
    <x v="4"/>
  </r>
  <r>
    <n v="308648"/>
    <x v="98"/>
    <x v="2"/>
  </r>
  <r>
    <n v="308650"/>
    <x v="84"/>
    <x v="2"/>
  </r>
  <r>
    <n v="308654"/>
    <x v="196"/>
    <x v="5"/>
  </r>
  <r>
    <n v="308659"/>
    <x v="48"/>
    <x v="2"/>
  </r>
  <r>
    <n v="308664"/>
    <x v="17"/>
    <x v="6"/>
  </r>
  <r>
    <n v="308668"/>
    <x v="98"/>
    <x v="5"/>
  </r>
  <r>
    <n v="308672"/>
    <x v="11"/>
    <x v="6"/>
  </r>
  <r>
    <n v="308677"/>
    <x v="70"/>
    <x v="3"/>
  </r>
  <r>
    <n v="308680"/>
    <x v="245"/>
    <x v="5"/>
  </r>
  <r>
    <n v="308682"/>
    <x v="171"/>
    <x v="4"/>
  </r>
  <r>
    <n v="308687"/>
    <x v="70"/>
    <x v="0"/>
  </r>
  <r>
    <n v="308688"/>
    <x v="177"/>
    <x v="4"/>
  </r>
  <r>
    <n v="308691"/>
    <x v="37"/>
    <x v="3"/>
  </r>
  <r>
    <n v="308696"/>
    <x v="191"/>
    <x v="5"/>
  </r>
  <r>
    <n v="308700"/>
    <x v="0"/>
    <x v="2"/>
  </r>
  <r>
    <n v="308703"/>
    <x v="54"/>
    <x v="4"/>
  </r>
  <r>
    <n v="308706"/>
    <x v="120"/>
    <x v="3"/>
  </r>
  <r>
    <n v="308710"/>
    <x v="77"/>
    <x v="5"/>
  </r>
  <r>
    <n v="308713"/>
    <x v="43"/>
    <x v="2"/>
  </r>
  <r>
    <n v="308717"/>
    <x v="71"/>
    <x v="3"/>
  </r>
  <r>
    <n v="308718"/>
    <x v="132"/>
    <x v="5"/>
  </r>
  <r>
    <n v="308723"/>
    <x v="72"/>
    <x v="4"/>
  </r>
  <r>
    <n v="308725"/>
    <x v="126"/>
    <x v="0"/>
  </r>
  <r>
    <n v="308726"/>
    <x v="170"/>
    <x v="5"/>
  </r>
  <r>
    <n v="308728"/>
    <x v="181"/>
    <x v="5"/>
  </r>
  <r>
    <n v="308731"/>
    <x v="189"/>
    <x v="1"/>
  </r>
  <r>
    <n v="308732"/>
    <x v="221"/>
    <x v="5"/>
  </r>
  <r>
    <n v="308733"/>
    <x v="115"/>
    <x v="0"/>
  </r>
  <r>
    <n v="308737"/>
    <x v="246"/>
    <x v="0"/>
  </r>
  <r>
    <n v="308740"/>
    <x v="247"/>
    <x v="4"/>
  </r>
  <r>
    <n v="308741"/>
    <x v="43"/>
    <x v="5"/>
  </r>
  <r>
    <n v="308742"/>
    <x v="223"/>
    <x v="2"/>
  </r>
  <r>
    <n v="308744"/>
    <x v="180"/>
    <x v="5"/>
  </r>
  <r>
    <n v="308745"/>
    <x v="38"/>
    <x v="1"/>
  </r>
  <r>
    <n v="308750"/>
    <x v="7"/>
    <x v="2"/>
  </r>
  <r>
    <n v="308753"/>
    <x v="3"/>
    <x v="5"/>
  </r>
  <r>
    <n v="308757"/>
    <x v="219"/>
    <x v="5"/>
  </r>
  <r>
    <n v="308759"/>
    <x v="248"/>
    <x v="3"/>
  </r>
  <r>
    <n v="308762"/>
    <x v="186"/>
    <x v="5"/>
  </r>
  <r>
    <n v="308766"/>
    <x v="149"/>
    <x v="2"/>
  </r>
  <r>
    <n v="308767"/>
    <x v="130"/>
    <x v="0"/>
  </r>
  <r>
    <n v="308768"/>
    <x v="249"/>
    <x v="5"/>
  </r>
  <r>
    <n v="308772"/>
    <x v="117"/>
    <x v="4"/>
  </r>
  <r>
    <n v="308777"/>
    <x v="79"/>
    <x v="2"/>
  </r>
  <r>
    <n v="308778"/>
    <x v="250"/>
    <x v="3"/>
  </r>
  <r>
    <n v="308781"/>
    <x v="152"/>
    <x v="2"/>
  </r>
  <r>
    <n v="308785"/>
    <x v="212"/>
    <x v="4"/>
  </r>
  <r>
    <n v="308788"/>
    <x v="94"/>
    <x v="0"/>
  </r>
  <r>
    <n v="308792"/>
    <x v="215"/>
    <x v="5"/>
  </r>
  <r>
    <n v="308795"/>
    <x v="251"/>
    <x v="2"/>
  </r>
  <r>
    <n v="308799"/>
    <x v="170"/>
    <x v="4"/>
  </r>
  <r>
    <n v="308803"/>
    <x v="150"/>
    <x v="2"/>
  </r>
  <r>
    <n v="308806"/>
    <x v="102"/>
    <x v="2"/>
  </r>
  <r>
    <n v="308809"/>
    <x v="233"/>
    <x v="5"/>
  </r>
  <r>
    <n v="308814"/>
    <x v="239"/>
    <x v="5"/>
  </r>
  <r>
    <n v="308817"/>
    <x v="59"/>
    <x v="2"/>
  </r>
  <r>
    <n v="308819"/>
    <x v="225"/>
    <x v="1"/>
  </r>
  <r>
    <n v="308822"/>
    <x v="193"/>
    <x v="2"/>
  </r>
  <r>
    <n v="308826"/>
    <x v="63"/>
    <x v="2"/>
  </r>
  <r>
    <n v="308828"/>
    <x v="238"/>
    <x v="2"/>
  </r>
  <r>
    <n v="308830"/>
    <x v="252"/>
    <x v="1"/>
  </r>
  <r>
    <n v="308834"/>
    <x v="158"/>
    <x v="5"/>
  </r>
  <r>
    <n v="308836"/>
    <x v="183"/>
    <x v="5"/>
  </r>
  <r>
    <n v="308840"/>
    <x v="161"/>
    <x v="4"/>
  </r>
  <r>
    <n v="308842"/>
    <x v="148"/>
    <x v="2"/>
  </r>
  <r>
    <n v="308844"/>
    <x v="75"/>
    <x v="5"/>
  </r>
  <r>
    <n v="308847"/>
    <x v="109"/>
    <x v="0"/>
  </r>
  <r>
    <n v="308849"/>
    <x v="253"/>
    <x v="5"/>
  </r>
  <r>
    <n v="308851"/>
    <x v="11"/>
    <x v="4"/>
  </r>
  <r>
    <n v="308852"/>
    <x v="89"/>
    <x v="2"/>
  </r>
  <r>
    <n v="308854"/>
    <x v="231"/>
    <x v="2"/>
  </r>
  <r>
    <n v="308857"/>
    <x v="233"/>
    <x v="0"/>
  </r>
  <r>
    <n v="308858"/>
    <x v="18"/>
    <x v="4"/>
  </r>
  <r>
    <n v="308859"/>
    <x v="140"/>
    <x v="5"/>
  </r>
  <r>
    <n v="308861"/>
    <x v="9"/>
    <x v="3"/>
  </r>
  <r>
    <n v="308862"/>
    <x v="8"/>
    <x v="2"/>
  </r>
  <r>
    <n v="308863"/>
    <x v="134"/>
    <x v="2"/>
  </r>
  <r>
    <n v="308865"/>
    <x v="8"/>
    <x v="4"/>
  </r>
  <r>
    <n v="308868"/>
    <x v="254"/>
    <x v="5"/>
  </r>
  <r>
    <n v="308871"/>
    <x v="51"/>
    <x v="5"/>
  </r>
  <r>
    <n v="308872"/>
    <x v="178"/>
    <x v="1"/>
  </r>
  <r>
    <n v="308873"/>
    <x v="171"/>
    <x v="5"/>
  </r>
  <r>
    <n v="308877"/>
    <x v="117"/>
    <x v="4"/>
  </r>
  <r>
    <n v="308879"/>
    <x v="15"/>
    <x v="2"/>
  </r>
  <r>
    <n v="308883"/>
    <x v="255"/>
    <x v="0"/>
  </r>
  <r>
    <n v="308886"/>
    <x v="256"/>
    <x v="4"/>
  </r>
  <r>
    <n v="308889"/>
    <x v="115"/>
    <x v="5"/>
  </r>
  <r>
    <n v="308890"/>
    <x v="202"/>
    <x v="0"/>
  </r>
  <r>
    <n v="308893"/>
    <x v="207"/>
    <x v="5"/>
  </r>
  <r>
    <n v="308895"/>
    <x v="257"/>
    <x v="0"/>
  </r>
  <r>
    <n v="308898"/>
    <x v="219"/>
    <x v="2"/>
  </r>
  <r>
    <n v="308903"/>
    <x v="239"/>
    <x v="0"/>
  </r>
  <r>
    <n v="308906"/>
    <x v="60"/>
    <x v="2"/>
  </r>
  <r>
    <n v="308911"/>
    <x v="143"/>
    <x v="4"/>
  </r>
  <r>
    <n v="308915"/>
    <x v="258"/>
    <x v="2"/>
  </r>
  <r>
    <n v="308917"/>
    <x v="259"/>
    <x v="5"/>
  </r>
  <r>
    <n v="308918"/>
    <x v="133"/>
    <x v="5"/>
  </r>
  <r>
    <n v="308923"/>
    <x v="259"/>
    <x v="2"/>
  </r>
  <r>
    <n v="308927"/>
    <x v="168"/>
    <x v="1"/>
  </r>
  <r>
    <n v="308930"/>
    <x v="63"/>
    <x v="5"/>
  </r>
  <r>
    <n v="308931"/>
    <x v="260"/>
    <x v="2"/>
  </r>
  <r>
    <n v="308934"/>
    <x v="210"/>
    <x v="2"/>
  </r>
  <r>
    <n v="308935"/>
    <x v="196"/>
    <x v="0"/>
  </r>
  <r>
    <n v="308937"/>
    <x v="248"/>
    <x v="1"/>
  </r>
  <r>
    <n v="308942"/>
    <x v="249"/>
    <x v="0"/>
  </r>
  <r>
    <n v="308946"/>
    <x v="261"/>
    <x v="4"/>
  </r>
  <r>
    <n v="308948"/>
    <x v="64"/>
    <x v="4"/>
  </r>
  <r>
    <n v="308952"/>
    <x v="20"/>
    <x v="4"/>
  </r>
  <r>
    <n v="308954"/>
    <x v="236"/>
    <x v="5"/>
  </r>
  <r>
    <n v="308957"/>
    <x v="213"/>
    <x v="3"/>
  </r>
  <r>
    <n v="308960"/>
    <x v="69"/>
    <x v="5"/>
  </r>
  <r>
    <n v="308964"/>
    <x v="78"/>
    <x v="0"/>
  </r>
  <r>
    <n v="308969"/>
    <x v="87"/>
    <x v="5"/>
  </r>
  <r>
    <n v="308973"/>
    <x v="187"/>
    <x v="2"/>
  </r>
  <r>
    <n v="308978"/>
    <x v="6"/>
    <x v="2"/>
  </r>
  <r>
    <n v="308980"/>
    <x v="40"/>
    <x v="4"/>
  </r>
  <r>
    <n v="308981"/>
    <x v="262"/>
    <x v="2"/>
  </r>
  <r>
    <n v="308986"/>
    <x v="216"/>
    <x v="5"/>
  </r>
  <r>
    <n v="308989"/>
    <x v="163"/>
    <x v="2"/>
  </r>
  <r>
    <n v="308991"/>
    <x v="121"/>
    <x v="2"/>
  </r>
  <r>
    <n v="308994"/>
    <x v="133"/>
    <x v="2"/>
  </r>
  <r>
    <n v="308998"/>
    <x v="178"/>
    <x v="1"/>
  </r>
  <r>
    <n v="309000"/>
    <x v="18"/>
    <x v="2"/>
  </r>
  <r>
    <n v="309002"/>
    <x v="171"/>
    <x v="6"/>
  </r>
  <r>
    <n v="309004"/>
    <x v="137"/>
    <x v="4"/>
  </r>
  <r>
    <n v="309005"/>
    <x v="4"/>
    <x v="4"/>
  </r>
  <r>
    <n v="309008"/>
    <x v="109"/>
    <x v="2"/>
  </r>
  <r>
    <n v="309012"/>
    <x v="107"/>
    <x v="0"/>
  </r>
  <r>
    <n v="309013"/>
    <x v="176"/>
    <x v="4"/>
  </r>
  <r>
    <n v="309015"/>
    <x v="6"/>
    <x v="5"/>
  </r>
  <r>
    <n v="309018"/>
    <x v="57"/>
    <x v="0"/>
  </r>
  <r>
    <n v="309019"/>
    <x v="46"/>
    <x v="5"/>
  </r>
  <r>
    <n v="309020"/>
    <x v="174"/>
    <x v="3"/>
  </r>
  <r>
    <n v="309021"/>
    <x v="263"/>
    <x v="0"/>
  </r>
  <r>
    <n v="309023"/>
    <x v="182"/>
    <x v="3"/>
  </r>
  <r>
    <n v="309026"/>
    <x v="264"/>
    <x v="5"/>
  </r>
  <r>
    <n v="309031"/>
    <x v="237"/>
    <x v="5"/>
  </r>
  <r>
    <n v="309036"/>
    <x v="265"/>
    <x v="0"/>
  </r>
  <r>
    <n v="309041"/>
    <x v="82"/>
    <x v="4"/>
  </r>
  <r>
    <n v="309043"/>
    <x v="133"/>
    <x v="2"/>
  </r>
  <r>
    <n v="309048"/>
    <x v="190"/>
    <x v="2"/>
  </r>
  <r>
    <n v="309051"/>
    <x v="52"/>
    <x v="2"/>
  </r>
  <r>
    <n v="309053"/>
    <x v="26"/>
    <x v="2"/>
  </r>
  <r>
    <n v="309057"/>
    <x v="56"/>
    <x v="0"/>
  </r>
  <r>
    <n v="309062"/>
    <x v="154"/>
    <x v="3"/>
  </r>
  <r>
    <n v="309063"/>
    <x v="167"/>
    <x v="3"/>
  </r>
  <r>
    <n v="309065"/>
    <x v="92"/>
    <x v="0"/>
  </r>
  <r>
    <n v="309070"/>
    <x v="113"/>
    <x v="5"/>
  </r>
  <r>
    <n v="309071"/>
    <x v="61"/>
    <x v="1"/>
  </r>
  <r>
    <n v="309075"/>
    <x v="39"/>
    <x v="4"/>
  </r>
  <r>
    <n v="309078"/>
    <x v="146"/>
    <x v="2"/>
  </r>
  <r>
    <n v="309082"/>
    <x v="6"/>
    <x v="4"/>
  </r>
  <r>
    <n v="309086"/>
    <x v="22"/>
    <x v="0"/>
  </r>
  <r>
    <n v="309087"/>
    <x v="226"/>
    <x v="2"/>
  </r>
  <r>
    <n v="309089"/>
    <x v="100"/>
    <x v="3"/>
  </r>
  <r>
    <n v="309090"/>
    <x v="142"/>
    <x v="2"/>
  </r>
  <r>
    <n v="309091"/>
    <x v="266"/>
    <x v="2"/>
  </r>
  <r>
    <n v="309094"/>
    <x v="31"/>
    <x v="2"/>
  </r>
  <r>
    <n v="309095"/>
    <x v="19"/>
    <x v="0"/>
  </r>
  <r>
    <n v="309096"/>
    <x v="217"/>
    <x v="5"/>
  </r>
  <r>
    <n v="309100"/>
    <x v="250"/>
    <x v="0"/>
  </r>
  <r>
    <n v="309104"/>
    <x v="210"/>
    <x v="2"/>
  </r>
  <r>
    <n v="309107"/>
    <x v="18"/>
    <x v="2"/>
  </r>
  <r>
    <n v="309109"/>
    <x v="185"/>
    <x v="5"/>
  </r>
  <r>
    <n v="309110"/>
    <x v="42"/>
    <x v="4"/>
  </r>
  <r>
    <n v="309113"/>
    <x v="267"/>
    <x v="4"/>
  </r>
  <r>
    <n v="309114"/>
    <x v="89"/>
    <x v="2"/>
  </r>
  <r>
    <n v="309115"/>
    <x v="254"/>
    <x v="2"/>
  </r>
  <r>
    <n v="309117"/>
    <x v="132"/>
    <x v="2"/>
  </r>
  <r>
    <n v="309118"/>
    <x v="268"/>
    <x v="0"/>
  </r>
  <r>
    <n v="309120"/>
    <x v="20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4F7EE-6936-4B39-9658-E23D3AB9D33B}" name="Сводная таблица17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I1:Q13" firstHeaderRow="1" firstDataRow="2" firstDataCol="1"/>
  <pivotFields count="5">
    <pivotField dataField="1" showAll="0"/>
    <pivotField axis="axisRow" numFmtId="14" showAll="0">
      <items count="270">
        <item x="170"/>
        <item x="211"/>
        <item x="16"/>
        <item x="4"/>
        <item x="62"/>
        <item x="234"/>
        <item x="89"/>
        <item x="259"/>
        <item x="201"/>
        <item x="155"/>
        <item x="147"/>
        <item x="118"/>
        <item x="217"/>
        <item x="40"/>
        <item x="51"/>
        <item x="55"/>
        <item x="246"/>
        <item x="242"/>
        <item x="56"/>
        <item x="243"/>
        <item x="129"/>
        <item x="135"/>
        <item x="127"/>
        <item x="138"/>
        <item x="178"/>
        <item x="15"/>
        <item x="159"/>
        <item x="179"/>
        <item x="167"/>
        <item x="121"/>
        <item x="57"/>
        <item x="214"/>
        <item x="223"/>
        <item x="241"/>
        <item x="146"/>
        <item x="227"/>
        <item x="63"/>
        <item x="113"/>
        <item x="198"/>
        <item x="65"/>
        <item x="185"/>
        <item x="5"/>
        <item x="9"/>
        <item x="100"/>
        <item x="199"/>
        <item x="172"/>
        <item x="202"/>
        <item x="41"/>
        <item x="93"/>
        <item x="31"/>
        <item x="38"/>
        <item x="139"/>
        <item x="224"/>
        <item x="190"/>
        <item x="59"/>
        <item x="229"/>
        <item x="48"/>
        <item x="85"/>
        <item x="249"/>
        <item x="193"/>
        <item x="42"/>
        <item x="164"/>
        <item x="92"/>
        <item x="195"/>
        <item x="102"/>
        <item x="97"/>
        <item x="115"/>
        <item x="132"/>
        <item x="98"/>
        <item x="73"/>
        <item x="260"/>
        <item x="206"/>
        <item x="153"/>
        <item x="219"/>
        <item x="68"/>
        <item x="256"/>
        <item x="103"/>
        <item x="156"/>
        <item x="120"/>
        <item x="208"/>
        <item x="262"/>
        <item x="96"/>
        <item x="261"/>
        <item x="207"/>
        <item x="107"/>
        <item x="204"/>
        <item x="126"/>
        <item x="66"/>
        <item x="212"/>
        <item x="83"/>
        <item x="183"/>
        <item x="228"/>
        <item x="216"/>
        <item x="69"/>
        <item x="36"/>
        <item x="196"/>
        <item x="8"/>
        <item x="130"/>
        <item x="11"/>
        <item x="252"/>
        <item x="106"/>
        <item x="128"/>
        <item x="148"/>
        <item x="173"/>
        <item x="7"/>
        <item x="163"/>
        <item x="105"/>
        <item x="266"/>
        <item x="22"/>
        <item x="110"/>
        <item x="109"/>
        <item x="3"/>
        <item x="119"/>
        <item x="265"/>
        <item x="197"/>
        <item x="231"/>
        <item x="24"/>
        <item x="136"/>
        <item x="203"/>
        <item x="18"/>
        <item x="84"/>
        <item x="26"/>
        <item x="230"/>
        <item x="257"/>
        <item x="58"/>
        <item x="238"/>
        <item x="37"/>
        <item x="232"/>
        <item x="140"/>
        <item x="74"/>
        <item x="21"/>
        <item x="34"/>
        <item x="200"/>
        <item x="145"/>
        <item x="81"/>
        <item x="161"/>
        <item x="125"/>
        <item x="184"/>
        <item x="149"/>
        <item x="99"/>
        <item x="258"/>
        <item x="79"/>
        <item x="263"/>
        <item x="33"/>
        <item x="182"/>
        <item x="35"/>
        <item x="213"/>
        <item x="30"/>
        <item x="267"/>
        <item x="251"/>
        <item x="76"/>
        <item x="237"/>
        <item x="152"/>
        <item x="122"/>
        <item x="175"/>
        <item x="23"/>
        <item x="6"/>
        <item x="77"/>
        <item x="95"/>
        <item x="169"/>
        <item x="49"/>
        <item x="12"/>
        <item x="192"/>
        <item x="61"/>
        <item x="47"/>
        <item x="124"/>
        <item x="233"/>
        <item x="222"/>
        <item x="151"/>
        <item x="191"/>
        <item x="67"/>
        <item x="157"/>
        <item x="187"/>
        <item x="32"/>
        <item x="160"/>
        <item x="239"/>
        <item x="39"/>
        <item x="165"/>
        <item x="80"/>
        <item x="112"/>
        <item x="19"/>
        <item x="150"/>
        <item x="54"/>
        <item x="94"/>
        <item x="215"/>
        <item x="253"/>
        <item x="168"/>
        <item x="235"/>
        <item x="20"/>
        <item x="111"/>
        <item x="14"/>
        <item x="225"/>
        <item x="210"/>
        <item x="104"/>
        <item x="144"/>
        <item x="162"/>
        <item x="91"/>
        <item x="114"/>
        <item x="78"/>
        <item x="29"/>
        <item x="50"/>
        <item x="25"/>
        <item x="240"/>
        <item x="13"/>
        <item x="248"/>
        <item x="194"/>
        <item x="82"/>
        <item x="250"/>
        <item x="2"/>
        <item x="166"/>
        <item x="70"/>
        <item x="43"/>
        <item x="137"/>
        <item x="181"/>
        <item x="46"/>
        <item x="117"/>
        <item x="134"/>
        <item x="86"/>
        <item x="158"/>
        <item x="154"/>
        <item x="143"/>
        <item x="44"/>
        <item x="220"/>
        <item x="264"/>
        <item x="205"/>
        <item x="72"/>
        <item x="60"/>
        <item x="176"/>
        <item x="133"/>
        <item x="244"/>
        <item x="189"/>
        <item x="27"/>
        <item x="186"/>
        <item x="75"/>
        <item x="188"/>
        <item x="131"/>
        <item x="88"/>
        <item x="247"/>
        <item x="71"/>
        <item x="0"/>
        <item x="28"/>
        <item x="245"/>
        <item x="254"/>
        <item x="174"/>
        <item x="17"/>
        <item x="268"/>
        <item x="108"/>
        <item x="64"/>
        <item x="53"/>
        <item x="1"/>
        <item x="87"/>
        <item x="90"/>
        <item x="141"/>
        <item x="45"/>
        <item x="255"/>
        <item x="177"/>
        <item x="123"/>
        <item x="221"/>
        <item x="218"/>
        <item x="236"/>
        <item x="116"/>
        <item x="180"/>
        <item x="52"/>
        <item x="10"/>
        <item x="171"/>
        <item x="142"/>
        <item x="209"/>
        <item x="226"/>
        <item x="101"/>
        <item t="default"/>
      </items>
    </pivotField>
    <pivotField axis="axisCol" showAll="0" sortType="descending">
      <items count="8">
        <item x="6"/>
        <item x="1"/>
        <item x="0"/>
        <item x="3"/>
        <item x="4"/>
        <item x="5"/>
        <item x="2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Количество по полю id_client" fld="0" subtotal="count" showDataAs="runTotal" baseField="2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71D98-5E10-49C6-BC57-7022A726B485}" name="Сводная таблица1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C715" firstHeaderRow="0" firstDataRow="1" firstDataCol="1"/>
  <pivotFields count="5">
    <pivotField axis="axisRow" dataField="1" showAll="0">
      <items count="7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t="default"/>
      </items>
    </pivotField>
    <pivotField dataField="1" numFmtId="14" showAll="0">
      <items count="403">
        <item x="170"/>
        <item x="211"/>
        <item x="16"/>
        <item x="4"/>
        <item x="62"/>
        <item x="234"/>
        <item x="89"/>
        <item x="259"/>
        <item x="201"/>
        <item x="155"/>
        <item x="147"/>
        <item x="118"/>
        <item x="217"/>
        <item x="40"/>
        <item x="51"/>
        <item x="55"/>
        <item x="246"/>
        <item x="242"/>
        <item x="56"/>
        <item x="243"/>
        <item x="129"/>
        <item x="135"/>
        <item x="127"/>
        <item x="138"/>
        <item x="178"/>
        <item x="15"/>
        <item x="159"/>
        <item x="179"/>
        <item x="167"/>
        <item x="121"/>
        <item x="57"/>
        <item x="271"/>
        <item x="214"/>
        <item x="223"/>
        <item x="241"/>
        <item x="146"/>
        <item x="227"/>
        <item x="63"/>
        <item x="113"/>
        <item x="198"/>
        <item x="65"/>
        <item x="185"/>
        <item x="278"/>
        <item x="276"/>
        <item x="5"/>
        <item x="9"/>
        <item x="100"/>
        <item x="199"/>
        <item x="172"/>
        <item x="202"/>
        <item x="41"/>
        <item x="93"/>
        <item x="31"/>
        <item x="38"/>
        <item x="139"/>
        <item x="224"/>
        <item x="190"/>
        <item x="59"/>
        <item x="229"/>
        <item x="321"/>
        <item x="48"/>
        <item x="85"/>
        <item x="249"/>
        <item x="193"/>
        <item x="42"/>
        <item x="164"/>
        <item x="92"/>
        <item x="195"/>
        <item x="102"/>
        <item x="97"/>
        <item x="115"/>
        <item x="132"/>
        <item x="98"/>
        <item x="73"/>
        <item x="260"/>
        <item x="206"/>
        <item x="153"/>
        <item x="219"/>
        <item x="68"/>
        <item x="256"/>
        <item x="103"/>
        <item x="156"/>
        <item x="120"/>
        <item x="208"/>
        <item x="262"/>
        <item x="96"/>
        <item x="261"/>
        <item x="303"/>
        <item x="207"/>
        <item x="107"/>
        <item x="204"/>
        <item x="126"/>
        <item x="66"/>
        <item x="274"/>
        <item x="212"/>
        <item x="83"/>
        <item x="183"/>
        <item x="228"/>
        <item x="216"/>
        <item x="69"/>
        <item x="290"/>
        <item x="36"/>
        <item x="281"/>
        <item x="196"/>
        <item x="8"/>
        <item x="130"/>
        <item x="300"/>
        <item x="11"/>
        <item x="316"/>
        <item x="252"/>
        <item x="106"/>
        <item x="128"/>
        <item x="148"/>
        <item x="173"/>
        <item x="7"/>
        <item x="163"/>
        <item x="105"/>
        <item x="340"/>
        <item x="266"/>
        <item x="22"/>
        <item x="110"/>
        <item x="109"/>
        <item x="280"/>
        <item x="322"/>
        <item x="299"/>
        <item x="3"/>
        <item x="119"/>
        <item x="265"/>
        <item x="197"/>
        <item x="231"/>
        <item x="24"/>
        <item x="136"/>
        <item x="203"/>
        <item x="310"/>
        <item x="18"/>
        <item x="84"/>
        <item x="26"/>
        <item x="230"/>
        <item x="257"/>
        <item x="58"/>
        <item x="296"/>
        <item x="238"/>
        <item x="37"/>
        <item x="232"/>
        <item x="140"/>
        <item x="74"/>
        <item x="21"/>
        <item x="34"/>
        <item x="200"/>
        <item x="145"/>
        <item x="81"/>
        <item x="288"/>
        <item x="161"/>
        <item x="125"/>
        <item x="184"/>
        <item x="149"/>
        <item x="99"/>
        <item x="258"/>
        <item x="79"/>
        <item x="295"/>
        <item x="263"/>
        <item x="33"/>
        <item x="182"/>
        <item x="35"/>
        <item x="213"/>
        <item x="30"/>
        <item x="267"/>
        <item x="251"/>
        <item x="76"/>
        <item x="237"/>
        <item x="152"/>
        <item x="122"/>
        <item x="175"/>
        <item x="23"/>
        <item x="6"/>
        <item x="77"/>
        <item x="95"/>
        <item x="169"/>
        <item x="49"/>
        <item x="12"/>
        <item x="192"/>
        <item x="61"/>
        <item x="47"/>
        <item x="124"/>
        <item x="233"/>
        <item x="222"/>
        <item x="151"/>
        <item x="191"/>
        <item x="67"/>
        <item x="157"/>
        <item x="187"/>
        <item x="32"/>
        <item x="160"/>
        <item x="239"/>
        <item x="39"/>
        <item x="273"/>
        <item x="165"/>
        <item x="80"/>
        <item x="112"/>
        <item x="19"/>
        <item x="150"/>
        <item x="54"/>
        <item x="94"/>
        <item x="215"/>
        <item x="253"/>
        <item x="168"/>
        <item x="282"/>
        <item x="235"/>
        <item x="20"/>
        <item x="111"/>
        <item x="14"/>
        <item x="225"/>
        <item x="210"/>
        <item x="104"/>
        <item x="144"/>
        <item x="162"/>
        <item x="91"/>
        <item x="114"/>
        <item x="78"/>
        <item x="29"/>
        <item x="50"/>
        <item x="25"/>
        <item x="240"/>
        <item x="13"/>
        <item x="305"/>
        <item x="248"/>
        <item x="194"/>
        <item x="82"/>
        <item x="250"/>
        <item x="324"/>
        <item x="2"/>
        <item x="166"/>
        <item x="70"/>
        <item x="43"/>
        <item x="137"/>
        <item x="181"/>
        <item x="46"/>
        <item x="117"/>
        <item x="134"/>
        <item x="309"/>
        <item x="86"/>
        <item x="158"/>
        <item x="154"/>
        <item x="298"/>
        <item x="143"/>
        <item x="44"/>
        <item x="307"/>
        <item x="220"/>
        <item x="264"/>
        <item x="205"/>
        <item x="72"/>
        <item x="60"/>
        <item x="176"/>
        <item x="133"/>
        <item x="244"/>
        <item x="189"/>
        <item x="27"/>
        <item x="186"/>
        <item x="75"/>
        <item x="188"/>
        <item x="131"/>
        <item x="279"/>
        <item x="88"/>
        <item x="247"/>
        <item x="71"/>
        <item x="0"/>
        <item x="28"/>
        <item x="245"/>
        <item x="291"/>
        <item x="254"/>
        <item x="174"/>
        <item x="17"/>
        <item x="268"/>
        <item x="108"/>
        <item x="64"/>
        <item x="53"/>
        <item x="1"/>
        <item x="87"/>
        <item x="90"/>
        <item x="141"/>
        <item x="45"/>
        <item x="255"/>
        <item x="177"/>
        <item x="123"/>
        <item x="221"/>
        <item x="218"/>
        <item x="236"/>
        <item x="116"/>
        <item x="180"/>
        <item x="52"/>
        <item x="10"/>
        <item x="171"/>
        <item x="284"/>
        <item x="142"/>
        <item x="209"/>
        <item x="226"/>
        <item x="101"/>
        <item x="311"/>
        <item x="332"/>
        <item x="314"/>
        <item x="302"/>
        <item x="272"/>
        <item x="318"/>
        <item x="287"/>
        <item x="317"/>
        <item x="277"/>
        <item x="269"/>
        <item x="283"/>
        <item x="375"/>
        <item x="308"/>
        <item x="275"/>
        <item x="315"/>
        <item x="312"/>
        <item x="289"/>
        <item x="313"/>
        <item x="335"/>
        <item x="304"/>
        <item x="306"/>
        <item x="294"/>
        <item x="286"/>
        <item x="270"/>
        <item x="293"/>
        <item x="336"/>
        <item x="292"/>
        <item x="297"/>
        <item x="301"/>
        <item x="285"/>
        <item x="350"/>
        <item x="339"/>
        <item x="331"/>
        <item x="347"/>
        <item x="328"/>
        <item x="346"/>
        <item x="330"/>
        <item x="319"/>
        <item x="325"/>
        <item x="398"/>
        <item x="343"/>
        <item x="323"/>
        <item x="345"/>
        <item x="344"/>
        <item x="329"/>
        <item x="358"/>
        <item x="341"/>
        <item x="342"/>
        <item x="371"/>
        <item x="327"/>
        <item x="320"/>
        <item x="333"/>
        <item x="359"/>
        <item x="334"/>
        <item x="337"/>
        <item x="338"/>
        <item x="326"/>
        <item x="369"/>
        <item x="361"/>
        <item x="357"/>
        <item x="366"/>
        <item x="354"/>
        <item x="381"/>
        <item x="356"/>
        <item x="348"/>
        <item x="352"/>
        <item x="391"/>
        <item x="351"/>
        <item x="364"/>
        <item x="390"/>
        <item x="355"/>
        <item x="376"/>
        <item x="362"/>
        <item x="363"/>
        <item x="389"/>
        <item x="349"/>
        <item x="365"/>
        <item x="377"/>
        <item x="387"/>
        <item x="360"/>
        <item x="353"/>
        <item x="388"/>
        <item x="378"/>
        <item x="382"/>
        <item x="385"/>
        <item x="374"/>
        <item x="373"/>
        <item x="367"/>
        <item x="372"/>
        <item x="370"/>
        <item x="383"/>
        <item x="395"/>
        <item x="379"/>
        <item x="380"/>
        <item x="397"/>
        <item x="368"/>
        <item x="384"/>
        <item x="392"/>
        <item x="394"/>
        <item x="399"/>
        <item x="386"/>
        <item x="393"/>
        <item x="396"/>
        <item x="400"/>
        <item x="40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7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 t="grand">
      <x/>
    </i>
  </rowItems>
  <colFields count="1">
    <field x="-2"/>
  </colFields>
  <colItems count="2">
    <i>
      <x/>
    </i>
    <i i="1">
      <x v="1"/>
    </i>
  </colItems>
  <dataFields count="2">
    <dataField name="Минимум по полю date_reg" fld="1" subtotal="min" baseField="0" baseItem="0" numFmtId="14"/>
    <dataField name="Количество по полю id_client" fld="0" subtotal="count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3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2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1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0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9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8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7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6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5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4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3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">
      <pivotArea dataOnly="0" labelOnly="1" fieldPosition="0">
        <references count="1">
          <reference field="0" count="13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C0361-64B7-44BC-AACD-8D64E6AE09B9}" name="Сводная таблица5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B20" firstHeaderRow="1" firstDataRow="1" firstDataCol="1"/>
  <pivotFields count="5">
    <pivotField dataField="1" showAll="0"/>
    <pivotField axis="axisRow" numFmtId="14" showAll="0">
      <items count="403">
        <item x="170"/>
        <item x="211"/>
        <item x="16"/>
        <item x="4"/>
        <item x="62"/>
        <item x="234"/>
        <item x="89"/>
        <item x="259"/>
        <item x="201"/>
        <item x="155"/>
        <item x="147"/>
        <item x="118"/>
        <item x="217"/>
        <item x="40"/>
        <item x="51"/>
        <item x="55"/>
        <item x="246"/>
        <item x="242"/>
        <item x="56"/>
        <item x="243"/>
        <item x="129"/>
        <item x="135"/>
        <item x="127"/>
        <item x="138"/>
        <item x="178"/>
        <item x="15"/>
        <item x="159"/>
        <item x="179"/>
        <item x="167"/>
        <item x="121"/>
        <item x="57"/>
        <item x="271"/>
        <item x="214"/>
        <item x="223"/>
        <item x="241"/>
        <item x="146"/>
        <item x="227"/>
        <item x="63"/>
        <item x="113"/>
        <item x="198"/>
        <item x="65"/>
        <item x="185"/>
        <item x="278"/>
        <item x="276"/>
        <item x="5"/>
        <item x="9"/>
        <item x="100"/>
        <item x="199"/>
        <item x="172"/>
        <item x="202"/>
        <item x="41"/>
        <item x="93"/>
        <item x="31"/>
        <item x="38"/>
        <item x="139"/>
        <item x="224"/>
        <item x="190"/>
        <item x="59"/>
        <item x="229"/>
        <item x="321"/>
        <item x="48"/>
        <item x="85"/>
        <item x="249"/>
        <item x="193"/>
        <item x="42"/>
        <item x="164"/>
        <item x="92"/>
        <item x="195"/>
        <item x="102"/>
        <item x="97"/>
        <item x="115"/>
        <item x="132"/>
        <item x="98"/>
        <item x="73"/>
        <item x="260"/>
        <item x="206"/>
        <item x="153"/>
        <item x="219"/>
        <item x="68"/>
        <item x="256"/>
        <item x="103"/>
        <item x="156"/>
        <item x="120"/>
        <item x="208"/>
        <item x="262"/>
        <item x="96"/>
        <item x="261"/>
        <item x="303"/>
        <item x="207"/>
        <item x="107"/>
        <item x="204"/>
        <item x="126"/>
        <item x="66"/>
        <item x="274"/>
        <item x="212"/>
        <item x="83"/>
        <item x="183"/>
        <item x="228"/>
        <item x="216"/>
        <item x="69"/>
        <item x="290"/>
        <item x="36"/>
        <item x="281"/>
        <item x="196"/>
        <item x="8"/>
        <item x="130"/>
        <item x="300"/>
        <item x="11"/>
        <item x="316"/>
        <item x="252"/>
        <item x="106"/>
        <item x="128"/>
        <item x="148"/>
        <item x="173"/>
        <item x="7"/>
        <item x="163"/>
        <item x="105"/>
        <item x="340"/>
        <item x="266"/>
        <item x="22"/>
        <item x="110"/>
        <item x="109"/>
        <item x="280"/>
        <item x="322"/>
        <item x="299"/>
        <item x="3"/>
        <item x="119"/>
        <item x="265"/>
        <item x="197"/>
        <item x="231"/>
        <item x="24"/>
        <item x="136"/>
        <item x="203"/>
        <item x="310"/>
        <item x="18"/>
        <item x="84"/>
        <item x="26"/>
        <item x="230"/>
        <item x="257"/>
        <item x="58"/>
        <item x="296"/>
        <item x="238"/>
        <item x="37"/>
        <item x="232"/>
        <item x="140"/>
        <item x="74"/>
        <item x="21"/>
        <item x="34"/>
        <item x="200"/>
        <item x="145"/>
        <item x="81"/>
        <item x="288"/>
        <item x="161"/>
        <item x="125"/>
        <item x="184"/>
        <item x="149"/>
        <item x="99"/>
        <item x="258"/>
        <item x="79"/>
        <item x="295"/>
        <item x="263"/>
        <item x="33"/>
        <item x="182"/>
        <item x="35"/>
        <item x="213"/>
        <item x="30"/>
        <item x="267"/>
        <item x="251"/>
        <item x="76"/>
        <item x="237"/>
        <item x="152"/>
        <item x="122"/>
        <item x="175"/>
        <item x="23"/>
        <item x="6"/>
        <item x="77"/>
        <item x="95"/>
        <item x="169"/>
        <item x="49"/>
        <item x="12"/>
        <item x="192"/>
        <item x="61"/>
        <item x="47"/>
        <item x="124"/>
        <item x="233"/>
        <item x="222"/>
        <item x="151"/>
        <item x="191"/>
        <item x="67"/>
        <item x="157"/>
        <item x="187"/>
        <item x="32"/>
        <item x="160"/>
        <item x="239"/>
        <item x="39"/>
        <item x="273"/>
        <item x="165"/>
        <item x="80"/>
        <item x="112"/>
        <item x="19"/>
        <item x="150"/>
        <item x="54"/>
        <item x="94"/>
        <item x="215"/>
        <item x="253"/>
        <item x="168"/>
        <item x="282"/>
        <item x="235"/>
        <item x="20"/>
        <item x="111"/>
        <item x="14"/>
        <item x="225"/>
        <item x="210"/>
        <item x="104"/>
        <item x="144"/>
        <item x="162"/>
        <item x="91"/>
        <item x="114"/>
        <item x="78"/>
        <item x="29"/>
        <item x="50"/>
        <item x="25"/>
        <item x="240"/>
        <item x="13"/>
        <item x="305"/>
        <item x="248"/>
        <item x="194"/>
        <item x="82"/>
        <item x="250"/>
        <item x="324"/>
        <item x="2"/>
        <item x="166"/>
        <item x="70"/>
        <item x="43"/>
        <item x="137"/>
        <item x="181"/>
        <item x="46"/>
        <item x="117"/>
        <item x="134"/>
        <item x="309"/>
        <item x="86"/>
        <item x="158"/>
        <item x="154"/>
        <item x="298"/>
        <item x="143"/>
        <item x="44"/>
        <item x="307"/>
        <item x="220"/>
        <item x="264"/>
        <item x="205"/>
        <item x="72"/>
        <item x="60"/>
        <item x="176"/>
        <item x="133"/>
        <item x="244"/>
        <item x="189"/>
        <item x="27"/>
        <item x="186"/>
        <item x="75"/>
        <item x="188"/>
        <item x="131"/>
        <item x="279"/>
        <item x="88"/>
        <item x="247"/>
        <item x="71"/>
        <item x="0"/>
        <item x="28"/>
        <item x="245"/>
        <item x="291"/>
        <item x="254"/>
        <item x="174"/>
        <item x="17"/>
        <item x="268"/>
        <item x="108"/>
        <item x="64"/>
        <item x="53"/>
        <item x="1"/>
        <item x="87"/>
        <item x="90"/>
        <item x="141"/>
        <item x="45"/>
        <item x="255"/>
        <item x="177"/>
        <item x="123"/>
        <item x="221"/>
        <item x="218"/>
        <item x="236"/>
        <item x="116"/>
        <item x="180"/>
        <item x="52"/>
        <item x="10"/>
        <item x="171"/>
        <item x="284"/>
        <item x="142"/>
        <item x="209"/>
        <item x="226"/>
        <item x="101"/>
        <item x="311"/>
        <item x="332"/>
        <item x="314"/>
        <item x="302"/>
        <item x="272"/>
        <item x="318"/>
        <item x="287"/>
        <item x="317"/>
        <item x="277"/>
        <item x="269"/>
        <item x="283"/>
        <item x="375"/>
        <item x="308"/>
        <item x="275"/>
        <item x="315"/>
        <item x="312"/>
        <item x="289"/>
        <item x="313"/>
        <item x="335"/>
        <item x="304"/>
        <item x="306"/>
        <item x="294"/>
        <item x="286"/>
        <item x="270"/>
        <item x="293"/>
        <item x="336"/>
        <item x="292"/>
        <item x="297"/>
        <item x="301"/>
        <item x="285"/>
        <item x="350"/>
        <item x="339"/>
        <item x="331"/>
        <item x="347"/>
        <item x="328"/>
        <item x="346"/>
        <item x="330"/>
        <item x="319"/>
        <item x="325"/>
        <item x="398"/>
        <item x="343"/>
        <item x="323"/>
        <item x="345"/>
        <item x="344"/>
        <item x="329"/>
        <item x="358"/>
        <item x="341"/>
        <item x="342"/>
        <item x="371"/>
        <item x="327"/>
        <item x="320"/>
        <item x="333"/>
        <item x="359"/>
        <item x="334"/>
        <item x="337"/>
        <item x="338"/>
        <item x="326"/>
        <item x="369"/>
        <item x="361"/>
        <item x="357"/>
        <item x="366"/>
        <item x="354"/>
        <item x="381"/>
        <item x="356"/>
        <item x="348"/>
        <item x="352"/>
        <item x="391"/>
        <item x="351"/>
        <item x="364"/>
        <item x="390"/>
        <item x="355"/>
        <item x="376"/>
        <item x="362"/>
        <item x="363"/>
        <item x="389"/>
        <item x="349"/>
        <item x="365"/>
        <item x="377"/>
        <item x="387"/>
        <item x="360"/>
        <item x="353"/>
        <item x="388"/>
        <item x="378"/>
        <item x="382"/>
        <item x="385"/>
        <item x="374"/>
        <item x="373"/>
        <item x="367"/>
        <item x="372"/>
        <item x="370"/>
        <item x="383"/>
        <item x="395"/>
        <item x="379"/>
        <item x="380"/>
        <item x="397"/>
        <item x="368"/>
        <item x="384"/>
        <item x="392"/>
        <item x="394"/>
        <item x="399"/>
        <item x="386"/>
        <item x="393"/>
        <item x="396"/>
        <item x="400"/>
        <item x="40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4"/>
    <field x="2"/>
    <field x="1"/>
  </rowFields>
  <rowItems count="1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Количество id_client" fld="0" subtotal="count" baseField="4" baseItem="1"/>
  </dataFields>
  <formats count="8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4" type="button" dataOnly="0" labelOnly="1" outline="0" axis="axisRow" fieldPosition="0"/>
    </format>
    <format dxfId="24">
      <pivotArea dataOnly="0" labelOnly="1" fieldPosition="0">
        <references count="1">
          <reference field="4" count="2">
            <x v="1"/>
            <x v="2"/>
          </reference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2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4" count="1" selected="0">
            <x v="1"/>
          </reference>
        </references>
      </pivotArea>
    </format>
    <format dxfId="21">
      <pivotArea dataOnly="0" labelOnly="1" fieldPosition="0">
        <references count="2">
          <reference field="2" count="4">
            <x v="1"/>
            <x v="2"/>
            <x v="3"/>
            <x v="4"/>
          </reference>
          <reference field="4" count="1" selected="0">
            <x v="2"/>
          </reference>
        </references>
      </pivotArea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1ADF4-3383-44A5-8E89-2A731765C52D}" name="Сводная таблица1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L1:M12" firstHeaderRow="1" firstDataRow="1" firstDataCol="1"/>
  <pivotFields count="5">
    <pivotField dataField="1" showAll="0"/>
    <pivotField axis="axisRow" numFmtId="14" showAll="0">
      <items count="270">
        <item x="170"/>
        <item x="211"/>
        <item x="16"/>
        <item x="4"/>
        <item x="62"/>
        <item x="234"/>
        <item x="89"/>
        <item x="259"/>
        <item x="201"/>
        <item x="155"/>
        <item x="147"/>
        <item x="118"/>
        <item x="217"/>
        <item x="40"/>
        <item x="51"/>
        <item x="55"/>
        <item x="246"/>
        <item x="242"/>
        <item x="56"/>
        <item x="243"/>
        <item x="129"/>
        <item x="135"/>
        <item x="127"/>
        <item x="138"/>
        <item x="178"/>
        <item x="15"/>
        <item x="159"/>
        <item x="179"/>
        <item x="167"/>
        <item x="121"/>
        <item x="57"/>
        <item x="214"/>
        <item x="223"/>
        <item x="241"/>
        <item x="146"/>
        <item x="227"/>
        <item x="63"/>
        <item x="113"/>
        <item x="198"/>
        <item x="65"/>
        <item x="185"/>
        <item x="5"/>
        <item x="9"/>
        <item x="100"/>
        <item x="199"/>
        <item x="172"/>
        <item x="202"/>
        <item x="41"/>
        <item x="93"/>
        <item x="31"/>
        <item x="38"/>
        <item x="139"/>
        <item x="224"/>
        <item x="190"/>
        <item x="59"/>
        <item x="229"/>
        <item x="48"/>
        <item x="85"/>
        <item x="249"/>
        <item x="193"/>
        <item x="42"/>
        <item x="164"/>
        <item x="92"/>
        <item x="195"/>
        <item x="102"/>
        <item x="97"/>
        <item x="115"/>
        <item x="132"/>
        <item x="98"/>
        <item x="73"/>
        <item x="260"/>
        <item x="206"/>
        <item x="153"/>
        <item x="219"/>
        <item x="68"/>
        <item x="256"/>
        <item x="103"/>
        <item x="156"/>
        <item x="120"/>
        <item x="208"/>
        <item x="262"/>
        <item x="96"/>
        <item x="261"/>
        <item x="207"/>
        <item x="107"/>
        <item x="204"/>
        <item x="126"/>
        <item x="66"/>
        <item x="212"/>
        <item x="83"/>
        <item x="183"/>
        <item x="228"/>
        <item x="216"/>
        <item x="69"/>
        <item x="36"/>
        <item x="196"/>
        <item x="8"/>
        <item x="130"/>
        <item x="11"/>
        <item x="252"/>
        <item x="106"/>
        <item x="128"/>
        <item x="148"/>
        <item x="173"/>
        <item x="7"/>
        <item x="163"/>
        <item x="105"/>
        <item x="266"/>
        <item x="22"/>
        <item x="110"/>
        <item x="109"/>
        <item x="3"/>
        <item x="119"/>
        <item x="265"/>
        <item x="197"/>
        <item x="231"/>
        <item x="24"/>
        <item x="136"/>
        <item x="203"/>
        <item x="18"/>
        <item x="84"/>
        <item x="26"/>
        <item x="230"/>
        <item x="257"/>
        <item x="58"/>
        <item x="238"/>
        <item x="37"/>
        <item x="232"/>
        <item x="140"/>
        <item x="74"/>
        <item x="21"/>
        <item x="34"/>
        <item x="200"/>
        <item x="145"/>
        <item x="81"/>
        <item x="161"/>
        <item x="125"/>
        <item x="184"/>
        <item x="149"/>
        <item x="99"/>
        <item x="258"/>
        <item x="79"/>
        <item x="263"/>
        <item x="33"/>
        <item x="182"/>
        <item x="35"/>
        <item x="213"/>
        <item x="30"/>
        <item x="267"/>
        <item x="251"/>
        <item x="76"/>
        <item x="237"/>
        <item x="152"/>
        <item x="122"/>
        <item x="175"/>
        <item x="23"/>
        <item x="6"/>
        <item x="77"/>
        <item x="95"/>
        <item x="169"/>
        <item x="49"/>
        <item x="12"/>
        <item x="192"/>
        <item x="61"/>
        <item x="47"/>
        <item x="124"/>
        <item x="233"/>
        <item x="222"/>
        <item x="151"/>
        <item x="191"/>
        <item x="67"/>
        <item x="157"/>
        <item x="187"/>
        <item x="32"/>
        <item x="160"/>
        <item x="239"/>
        <item x="39"/>
        <item x="165"/>
        <item x="80"/>
        <item x="112"/>
        <item x="19"/>
        <item x="150"/>
        <item x="54"/>
        <item x="94"/>
        <item x="215"/>
        <item x="253"/>
        <item x="168"/>
        <item x="235"/>
        <item x="20"/>
        <item x="111"/>
        <item x="14"/>
        <item x="225"/>
        <item x="210"/>
        <item x="104"/>
        <item x="144"/>
        <item x="162"/>
        <item x="91"/>
        <item x="114"/>
        <item x="78"/>
        <item x="29"/>
        <item x="50"/>
        <item x="25"/>
        <item x="240"/>
        <item x="13"/>
        <item x="248"/>
        <item x="194"/>
        <item x="82"/>
        <item x="250"/>
        <item x="2"/>
        <item x="166"/>
        <item x="70"/>
        <item x="43"/>
        <item x="137"/>
        <item x="181"/>
        <item x="46"/>
        <item x="117"/>
        <item x="134"/>
        <item x="86"/>
        <item x="158"/>
        <item x="154"/>
        <item x="143"/>
        <item x="44"/>
        <item x="220"/>
        <item x="264"/>
        <item x="205"/>
        <item x="72"/>
        <item x="60"/>
        <item x="176"/>
        <item x="133"/>
        <item x="244"/>
        <item x="189"/>
        <item x="27"/>
        <item x="186"/>
        <item x="75"/>
        <item x="188"/>
        <item x="131"/>
        <item x="88"/>
        <item x="247"/>
        <item x="71"/>
        <item x="0"/>
        <item x="28"/>
        <item x="245"/>
        <item x="254"/>
        <item x="174"/>
        <item x="17"/>
        <item x="268"/>
        <item x="108"/>
        <item x="64"/>
        <item x="53"/>
        <item x="1"/>
        <item x="87"/>
        <item x="90"/>
        <item x="141"/>
        <item x="45"/>
        <item x="255"/>
        <item x="177"/>
        <item x="123"/>
        <item x="221"/>
        <item x="218"/>
        <item x="236"/>
        <item x="116"/>
        <item x="180"/>
        <item x="52"/>
        <item x="10"/>
        <item x="171"/>
        <item x="142"/>
        <item x="209"/>
        <item x="226"/>
        <item x="101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Количество по полю id_client" fld="0" subtotal="count" baseField="4" baseItem="5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4" type="button" dataOnly="0" labelOnly="1" outline="0" axis="axisRow" fieldPosition="0"/>
    </format>
    <format dxfId="30">
      <pivotArea dataOnly="0" labelOnly="1" fieldPosition="0">
        <references count="1">
          <reference field="4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0EE8F-8D35-4944-9DD2-F31E387BE8D1}" name="Сводная таблица8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id_client">
  <location ref="D1:F715" firstHeaderRow="0" firstDataRow="1" firstDataCol="1"/>
  <pivotFields count="5">
    <pivotField axis="axisRow" dataField="1" showAll="0">
      <items count="7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t="default"/>
      </items>
    </pivotField>
    <pivotField dataField="1" numFmtId="14" showAll="0">
      <items count="403">
        <item x="170"/>
        <item x="211"/>
        <item x="16"/>
        <item x="4"/>
        <item x="62"/>
        <item x="234"/>
        <item x="89"/>
        <item x="259"/>
        <item x="201"/>
        <item x="155"/>
        <item x="147"/>
        <item x="118"/>
        <item x="217"/>
        <item x="40"/>
        <item x="51"/>
        <item x="55"/>
        <item x="246"/>
        <item x="242"/>
        <item x="56"/>
        <item x="243"/>
        <item x="129"/>
        <item x="135"/>
        <item x="127"/>
        <item x="138"/>
        <item x="178"/>
        <item x="15"/>
        <item x="159"/>
        <item x="179"/>
        <item x="167"/>
        <item x="121"/>
        <item x="57"/>
        <item x="271"/>
        <item x="214"/>
        <item x="223"/>
        <item x="241"/>
        <item x="146"/>
        <item x="227"/>
        <item x="63"/>
        <item x="113"/>
        <item x="198"/>
        <item x="65"/>
        <item x="185"/>
        <item x="278"/>
        <item x="276"/>
        <item x="5"/>
        <item x="9"/>
        <item x="100"/>
        <item x="199"/>
        <item x="172"/>
        <item x="202"/>
        <item x="41"/>
        <item x="93"/>
        <item x="31"/>
        <item x="38"/>
        <item x="139"/>
        <item x="224"/>
        <item x="190"/>
        <item x="59"/>
        <item x="229"/>
        <item x="321"/>
        <item x="48"/>
        <item x="85"/>
        <item x="249"/>
        <item x="193"/>
        <item x="42"/>
        <item x="164"/>
        <item x="92"/>
        <item x="195"/>
        <item x="102"/>
        <item x="97"/>
        <item x="115"/>
        <item x="132"/>
        <item x="98"/>
        <item x="73"/>
        <item x="260"/>
        <item x="206"/>
        <item x="153"/>
        <item x="219"/>
        <item x="68"/>
        <item x="256"/>
        <item x="103"/>
        <item x="156"/>
        <item x="120"/>
        <item x="208"/>
        <item x="262"/>
        <item x="96"/>
        <item x="261"/>
        <item x="303"/>
        <item x="207"/>
        <item x="107"/>
        <item x="204"/>
        <item x="126"/>
        <item x="66"/>
        <item x="274"/>
        <item x="212"/>
        <item x="83"/>
        <item x="183"/>
        <item x="228"/>
        <item x="216"/>
        <item x="69"/>
        <item x="290"/>
        <item x="36"/>
        <item x="281"/>
        <item x="196"/>
        <item x="8"/>
        <item x="130"/>
        <item x="300"/>
        <item x="11"/>
        <item x="316"/>
        <item x="252"/>
        <item x="106"/>
        <item x="128"/>
        <item x="148"/>
        <item x="173"/>
        <item x="7"/>
        <item x="163"/>
        <item x="105"/>
        <item x="340"/>
        <item x="266"/>
        <item x="22"/>
        <item x="110"/>
        <item x="109"/>
        <item x="280"/>
        <item x="322"/>
        <item x="299"/>
        <item x="3"/>
        <item x="119"/>
        <item x="265"/>
        <item x="197"/>
        <item x="231"/>
        <item x="24"/>
        <item x="136"/>
        <item x="203"/>
        <item x="310"/>
        <item x="18"/>
        <item x="84"/>
        <item x="26"/>
        <item x="230"/>
        <item x="257"/>
        <item x="58"/>
        <item x="296"/>
        <item x="238"/>
        <item x="37"/>
        <item x="232"/>
        <item x="140"/>
        <item x="74"/>
        <item x="21"/>
        <item x="34"/>
        <item x="200"/>
        <item x="145"/>
        <item x="81"/>
        <item x="288"/>
        <item x="161"/>
        <item x="125"/>
        <item x="184"/>
        <item x="149"/>
        <item x="99"/>
        <item x="258"/>
        <item x="79"/>
        <item x="295"/>
        <item x="263"/>
        <item x="33"/>
        <item x="182"/>
        <item x="35"/>
        <item x="213"/>
        <item x="30"/>
        <item x="267"/>
        <item x="251"/>
        <item x="76"/>
        <item x="237"/>
        <item x="152"/>
        <item x="122"/>
        <item x="175"/>
        <item x="23"/>
        <item x="6"/>
        <item x="77"/>
        <item x="95"/>
        <item x="169"/>
        <item x="49"/>
        <item x="12"/>
        <item x="192"/>
        <item x="61"/>
        <item x="47"/>
        <item x="124"/>
        <item x="233"/>
        <item x="222"/>
        <item x="151"/>
        <item x="191"/>
        <item x="67"/>
        <item x="157"/>
        <item x="187"/>
        <item x="32"/>
        <item x="160"/>
        <item x="239"/>
        <item x="39"/>
        <item x="273"/>
        <item x="165"/>
        <item x="80"/>
        <item x="112"/>
        <item x="19"/>
        <item x="150"/>
        <item x="54"/>
        <item x="94"/>
        <item x="215"/>
        <item x="253"/>
        <item x="168"/>
        <item x="282"/>
        <item x="235"/>
        <item x="20"/>
        <item x="111"/>
        <item x="14"/>
        <item x="225"/>
        <item x="210"/>
        <item x="104"/>
        <item x="144"/>
        <item x="162"/>
        <item x="91"/>
        <item x="114"/>
        <item x="78"/>
        <item x="29"/>
        <item x="50"/>
        <item x="25"/>
        <item x="240"/>
        <item x="13"/>
        <item x="305"/>
        <item x="248"/>
        <item x="194"/>
        <item x="82"/>
        <item x="250"/>
        <item x="324"/>
        <item x="2"/>
        <item x="166"/>
        <item x="70"/>
        <item x="43"/>
        <item x="137"/>
        <item x="181"/>
        <item x="46"/>
        <item x="117"/>
        <item x="134"/>
        <item x="309"/>
        <item x="86"/>
        <item x="158"/>
        <item x="154"/>
        <item x="298"/>
        <item x="143"/>
        <item x="44"/>
        <item x="307"/>
        <item x="220"/>
        <item x="264"/>
        <item x="205"/>
        <item x="72"/>
        <item x="60"/>
        <item x="176"/>
        <item x="133"/>
        <item x="244"/>
        <item x="189"/>
        <item x="27"/>
        <item x="186"/>
        <item x="75"/>
        <item x="188"/>
        <item x="131"/>
        <item x="279"/>
        <item x="88"/>
        <item x="247"/>
        <item x="71"/>
        <item x="0"/>
        <item x="28"/>
        <item x="245"/>
        <item x="291"/>
        <item x="254"/>
        <item x="174"/>
        <item x="17"/>
        <item x="268"/>
        <item x="108"/>
        <item x="64"/>
        <item x="53"/>
        <item x="1"/>
        <item x="87"/>
        <item x="90"/>
        <item x="141"/>
        <item x="45"/>
        <item x="255"/>
        <item x="177"/>
        <item x="123"/>
        <item x="221"/>
        <item x="218"/>
        <item x="236"/>
        <item x="116"/>
        <item x="180"/>
        <item x="52"/>
        <item x="10"/>
        <item x="171"/>
        <item x="284"/>
        <item x="142"/>
        <item x="209"/>
        <item x="226"/>
        <item x="101"/>
        <item x="311"/>
        <item x="332"/>
        <item x="314"/>
        <item x="302"/>
        <item x="272"/>
        <item x="318"/>
        <item x="287"/>
        <item x="317"/>
        <item x="277"/>
        <item x="269"/>
        <item x="283"/>
        <item x="375"/>
        <item x="308"/>
        <item x="275"/>
        <item x="315"/>
        <item x="312"/>
        <item x="289"/>
        <item x="313"/>
        <item x="335"/>
        <item x="304"/>
        <item x="306"/>
        <item x="294"/>
        <item x="286"/>
        <item x="270"/>
        <item x="293"/>
        <item x="336"/>
        <item x="292"/>
        <item x="297"/>
        <item x="301"/>
        <item x="285"/>
        <item x="350"/>
        <item x="339"/>
        <item x="331"/>
        <item x="347"/>
        <item x="328"/>
        <item x="346"/>
        <item x="330"/>
        <item x="319"/>
        <item x="325"/>
        <item x="398"/>
        <item x="343"/>
        <item x="323"/>
        <item x="345"/>
        <item x="344"/>
        <item x="329"/>
        <item x="358"/>
        <item x="341"/>
        <item x="342"/>
        <item x="371"/>
        <item x="327"/>
        <item x="320"/>
        <item x="333"/>
        <item x="359"/>
        <item x="334"/>
        <item x="337"/>
        <item x="338"/>
        <item x="326"/>
        <item x="369"/>
        <item x="361"/>
        <item x="357"/>
        <item x="366"/>
        <item x="354"/>
        <item x="381"/>
        <item x="356"/>
        <item x="348"/>
        <item x="352"/>
        <item x="391"/>
        <item x="351"/>
        <item x="364"/>
        <item x="390"/>
        <item x="355"/>
        <item x="376"/>
        <item x="362"/>
        <item x="363"/>
        <item x="389"/>
        <item x="349"/>
        <item x="365"/>
        <item x="377"/>
        <item x="387"/>
        <item x="360"/>
        <item x="353"/>
        <item x="388"/>
        <item x="378"/>
        <item x="382"/>
        <item x="385"/>
        <item x="374"/>
        <item x="373"/>
        <item x="367"/>
        <item x="372"/>
        <item x="370"/>
        <item x="383"/>
        <item x="395"/>
        <item x="379"/>
        <item x="380"/>
        <item x="397"/>
        <item x="368"/>
        <item x="384"/>
        <item x="392"/>
        <item x="394"/>
        <item x="399"/>
        <item x="386"/>
        <item x="393"/>
        <item x="396"/>
        <item x="400"/>
        <item x="40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7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 t="grand">
      <x/>
    </i>
  </rowItems>
  <colFields count="1">
    <field x="-2"/>
  </colFields>
  <colItems count="2">
    <i>
      <x/>
    </i>
    <i i="1">
      <x v="1"/>
    </i>
  </colItems>
  <dataFields count="2">
    <dataField name="min_date" fld="1" subtotal="min" baseField="0" baseItem="0" numFmtId="14"/>
    <dataField name="cnt_reg" fld="0" subtotal="count" baseField="0" baseItem="0"/>
  </dataFields>
  <formats count="20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9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8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7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6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5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44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43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2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41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40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9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38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37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36">
      <pivotArea dataOnly="0" labelOnly="1" fieldPosition="0">
        <references count="1">
          <reference field="0" count="13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FEEB-6E61-4E3F-810F-8EE9D7A6EBCD}">
  <dimension ref="A1:B1982"/>
  <sheetViews>
    <sheetView workbookViewId="0">
      <selection activeCell="D23" sqref="D23"/>
    </sheetView>
  </sheetViews>
  <sheetFormatPr defaultRowHeight="15" x14ac:dyDescent="0.25"/>
  <cols>
    <col min="2" max="2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307001</v>
      </c>
      <c r="B2" s="1">
        <v>44833</v>
      </c>
    </row>
    <row r="3" spans="1:2" x14ac:dyDescent="0.25">
      <c r="A3">
        <v>307002</v>
      </c>
      <c r="B3" s="1">
        <v>44844</v>
      </c>
    </row>
    <row r="4" spans="1:2" x14ac:dyDescent="0.25">
      <c r="A4">
        <v>307006</v>
      </c>
      <c r="B4" s="1">
        <v>44798</v>
      </c>
    </row>
    <row r="5" spans="1:2" x14ac:dyDescent="0.25">
      <c r="A5">
        <v>307011</v>
      </c>
      <c r="B5" s="1">
        <v>44693</v>
      </c>
    </row>
    <row r="6" spans="1:2" x14ac:dyDescent="0.25">
      <c r="A6">
        <v>307013</v>
      </c>
      <c r="B6" s="1">
        <v>44567</v>
      </c>
    </row>
    <row r="7" spans="1:2" x14ac:dyDescent="0.25">
      <c r="A7">
        <v>307014</v>
      </c>
      <c r="B7" s="1">
        <v>44610</v>
      </c>
    </row>
    <row r="8" spans="1:2" x14ac:dyDescent="0.25">
      <c r="A8">
        <v>307019</v>
      </c>
      <c r="B8" s="1">
        <v>44742</v>
      </c>
    </row>
    <row r="9" spans="1:2" x14ac:dyDescent="0.25">
      <c r="A9">
        <v>307022</v>
      </c>
      <c r="B9" s="1">
        <v>44682</v>
      </c>
    </row>
    <row r="10" spans="1:2" x14ac:dyDescent="0.25">
      <c r="A10">
        <v>307026</v>
      </c>
      <c r="B10" s="1">
        <v>44672</v>
      </c>
    </row>
    <row r="11" spans="1:2" x14ac:dyDescent="0.25">
      <c r="A11">
        <v>307030</v>
      </c>
      <c r="B11" s="1">
        <v>44611</v>
      </c>
    </row>
    <row r="12" spans="1:2" x14ac:dyDescent="0.25">
      <c r="A12">
        <v>307031</v>
      </c>
      <c r="B12" s="1">
        <v>44858</v>
      </c>
    </row>
    <row r="13" spans="1:2" x14ac:dyDescent="0.25">
      <c r="A13">
        <v>307033</v>
      </c>
      <c r="B13" s="1">
        <v>44675</v>
      </c>
    </row>
    <row r="14" spans="1:2" x14ac:dyDescent="0.25">
      <c r="A14">
        <v>307035</v>
      </c>
      <c r="B14" s="1">
        <v>44747</v>
      </c>
    </row>
    <row r="15" spans="1:2" x14ac:dyDescent="0.25">
      <c r="A15">
        <v>307040</v>
      </c>
      <c r="B15" s="1">
        <v>44791</v>
      </c>
    </row>
    <row r="16" spans="1:2" x14ac:dyDescent="0.25">
      <c r="A16">
        <v>307044</v>
      </c>
      <c r="B16" s="1">
        <v>44778</v>
      </c>
    </row>
    <row r="17" spans="1:2" x14ac:dyDescent="0.25">
      <c r="A17">
        <v>307047</v>
      </c>
      <c r="B17" s="1">
        <v>44591</v>
      </c>
    </row>
    <row r="18" spans="1:2" x14ac:dyDescent="0.25">
      <c r="A18">
        <v>307050</v>
      </c>
      <c r="B18" s="1">
        <v>44566</v>
      </c>
    </row>
    <row r="19" spans="1:2" x14ac:dyDescent="0.25">
      <c r="A19">
        <v>307053</v>
      </c>
      <c r="B19" s="1">
        <v>44839</v>
      </c>
    </row>
    <row r="20" spans="1:2" x14ac:dyDescent="0.25">
      <c r="A20">
        <v>307056</v>
      </c>
      <c r="B20" s="1">
        <v>44702</v>
      </c>
    </row>
    <row r="21" spans="1:2" x14ac:dyDescent="0.25">
      <c r="A21">
        <v>307060</v>
      </c>
      <c r="B21" s="1">
        <v>44767</v>
      </c>
    </row>
    <row r="22" spans="1:2" x14ac:dyDescent="0.25">
      <c r="A22">
        <v>307063</v>
      </c>
      <c r="B22" s="1">
        <v>44776</v>
      </c>
    </row>
    <row r="23" spans="1:2" x14ac:dyDescent="0.25">
      <c r="A23">
        <v>307068</v>
      </c>
      <c r="B23" s="1">
        <v>44714</v>
      </c>
    </row>
    <row r="24" spans="1:2" x14ac:dyDescent="0.25">
      <c r="A24">
        <v>307071</v>
      </c>
      <c r="B24" s="1">
        <v>44687</v>
      </c>
    </row>
    <row r="25" spans="1:2" x14ac:dyDescent="0.25">
      <c r="A25">
        <v>307075</v>
      </c>
      <c r="B25" s="1">
        <v>44741</v>
      </c>
    </row>
    <row r="26" spans="1:2" x14ac:dyDescent="0.25">
      <c r="A26">
        <v>307079</v>
      </c>
      <c r="B26" s="1">
        <v>44698</v>
      </c>
    </row>
    <row r="27" spans="1:2" x14ac:dyDescent="0.25">
      <c r="A27">
        <v>307081</v>
      </c>
      <c r="B27" s="1">
        <v>44789</v>
      </c>
    </row>
    <row r="28" spans="1:2" x14ac:dyDescent="0.25">
      <c r="A28">
        <v>307083</v>
      </c>
      <c r="B28" s="1">
        <v>44704</v>
      </c>
    </row>
    <row r="29" spans="1:2" x14ac:dyDescent="0.25">
      <c r="A29">
        <v>307086</v>
      </c>
      <c r="B29" s="1">
        <v>44824</v>
      </c>
    </row>
    <row r="30" spans="1:2" x14ac:dyDescent="0.25">
      <c r="A30">
        <v>307090</v>
      </c>
      <c r="B30" s="1">
        <v>44834</v>
      </c>
    </row>
    <row r="31" spans="1:2" x14ac:dyDescent="0.25">
      <c r="A31">
        <v>307091</v>
      </c>
      <c r="B31" s="1">
        <v>44787</v>
      </c>
    </row>
    <row r="32" spans="1:2" x14ac:dyDescent="0.25">
      <c r="A32">
        <v>307092</v>
      </c>
      <c r="B32" s="1">
        <v>44733</v>
      </c>
    </row>
    <row r="33" spans="1:2" x14ac:dyDescent="0.25">
      <c r="A33">
        <v>307094</v>
      </c>
      <c r="B33" s="1">
        <v>44618</v>
      </c>
    </row>
    <row r="34" spans="1:2" x14ac:dyDescent="0.25">
      <c r="A34">
        <v>307095</v>
      </c>
      <c r="B34" s="1">
        <v>44759</v>
      </c>
    </row>
    <row r="35" spans="1:2" x14ac:dyDescent="0.25">
      <c r="A35">
        <v>307099</v>
      </c>
      <c r="B35" s="1">
        <v>44729</v>
      </c>
    </row>
    <row r="36" spans="1:2" x14ac:dyDescent="0.25">
      <c r="A36">
        <v>307101</v>
      </c>
      <c r="B36" s="1">
        <v>44715</v>
      </c>
    </row>
    <row r="37" spans="1:2" x14ac:dyDescent="0.25">
      <c r="A37">
        <v>307102</v>
      </c>
      <c r="B37" s="1">
        <v>44731</v>
      </c>
    </row>
    <row r="38" spans="1:2" x14ac:dyDescent="0.25">
      <c r="A38">
        <v>307106</v>
      </c>
      <c r="B38" s="1">
        <v>44839</v>
      </c>
    </row>
    <row r="39" spans="1:2" x14ac:dyDescent="0.25">
      <c r="A39">
        <v>307111</v>
      </c>
      <c r="B39" s="1">
        <v>44669</v>
      </c>
    </row>
    <row r="40" spans="1:2" x14ac:dyDescent="0.25">
      <c r="A40">
        <v>307116</v>
      </c>
      <c r="B40" s="1">
        <v>44710</v>
      </c>
    </row>
    <row r="41" spans="1:2" x14ac:dyDescent="0.25">
      <c r="A41">
        <v>307117</v>
      </c>
      <c r="B41" s="1">
        <v>44619</v>
      </c>
    </row>
    <row r="42" spans="1:2" x14ac:dyDescent="0.25">
      <c r="A42">
        <v>307121</v>
      </c>
      <c r="B42" s="1">
        <v>44858</v>
      </c>
    </row>
    <row r="43" spans="1:2" x14ac:dyDescent="0.25">
      <c r="A43">
        <v>307122</v>
      </c>
      <c r="B43" s="1">
        <v>44762</v>
      </c>
    </row>
    <row r="44" spans="1:2" x14ac:dyDescent="0.25">
      <c r="A44">
        <v>307123</v>
      </c>
      <c r="B44" s="1">
        <v>44577</v>
      </c>
    </row>
    <row r="45" spans="1:2" x14ac:dyDescent="0.25">
      <c r="A45">
        <v>307124</v>
      </c>
      <c r="B45" s="1">
        <v>44616</v>
      </c>
    </row>
    <row r="46" spans="1:2" x14ac:dyDescent="0.25">
      <c r="A46">
        <v>307128</v>
      </c>
      <c r="B46" s="1">
        <v>44630</v>
      </c>
    </row>
    <row r="47" spans="1:2" x14ac:dyDescent="0.25">
      <c r="A47">
        <v>307131</v>
      </c>
      <c r="B47" s="1">
        <v>44801</v>
      </c>
    </row>
    <row r="48" spans="1:2" x14ac:dyDescent="0.25">
      <c r="A48">
        <v>307133</v>
      </c>
      <c r="B48" s="1">
        <v>44813</v>
      </c>
    </row>
    <row r="49" spans="1:2" x14ac:dyDescent="0.25">
      <c r="A49">
        <v>307134</v>
      </c>
      <c r="B49" s="1">
        <v>44710</v>
      </c>
    </row>
    <row r="50" spans="1:2" x14ac:dyDescent="0.25">
      <c r="A50">
        <v>307138</v>
      </c>
      <c r="B50" s="1">
        <v>44848</v>
      </c>
    </row>
    <row r="51" spans="1:2" x14ac:dyDescent="0.25">
      <c r="A51">
        <v>307143</v>
      </c>
      <c r="B51" s="1">
        <v>44804</v>
      </c>
    </row>
    <row r="52" spans="1:2" x14ac:dyDescent="0.25">
      <c r="A52">
        <v>307145</v>
      </c>
      <c r="B52" s="1">
        <v>44702</v>
      </c>
    </row>
    <row r="53" spans="1:2" x14ac:dyDescent="0.25">
      <c r="A53">
        <v>307149</v>
      </c>
      <c r="B53" s="1">
        <v>44750</v>
      </c>
    </row>
    <row r="54" spans="1:2" x14ac:dyDescent="0.25">
      <c r="A54">
        <v>307153</v>
      </c>
      <c r="B54" s="1">
        <v>44626</v>
      </c>
    </row>
    <row r="55" spans="1:2" x14ac:dyDescent="0.25">
      <c r="A55">
        <v>307154</v>
      </c>
      <c r="B55" s="1">
        <v>44746</v>
      </c>
    </row>
    <row r="56" spans="1:2" x14ac:dyDescent="0.25">
      <c r="A56">
        <v>307159</v>
      </c>
      <c r="B56" s="1">
        <v>44566</v>
      </c>
    </row>
    <row r="57" spans="1:2" x14ac:dyDescent="0.25">
      <c r="A57">
        <v>307161</v>
      </c>
      <c r="B57" s="1">
        <v>44630</v>
      </c>
    </row>
    <row r="58" spans="1:2" x14ac:dyDescent="0.25">
      <c r="A58">
        <v>307166</v>
      </c>
      <c r="B58" s="1">
        <v>44788</v>
      </c>
    </row>
    <row r="59" spans="1:2" x14ac:dyDescent="0.25">
      <c r="A59">
        <v>307169</v>
      </c>
      <c r="B59" s="1">
        <v>44578</v>
      </c>
    </row>
    <row r="60" spans="1:2" x14ac:dyDescent="0.25">
      <c r="A60">
        <v>307170</v>
      </c>
      <c r="B60" s="1">
        <v>44857</v>
      </c>
    </row>
    <row r="61" spans="1:2" x14ac:dyDescent="0.25">
      <c r="A61">
        <v>307172</v>
      </c>
      <c r="B61" s="1">
        <v>44843</v>
      </c>
    </row>
    <row r="62" spans="1:2" x14ac:dyDescent="0.25">
      <c r="A62">
        <v>307176</v>
      </c>
      <c r="B62" s="1">
        <v>44769</v>
      </c>
    </row>
    <row r="63" spans="1:2" x14ac:dyDescent="0.25">
      <c r="A63">
        <v>307178</v>
      </c>
      <c r="B63" s="1">
        <v>44804</v>
      </c>
    </row>
    <row r="64" spans="1:2" x14ac:dyDescent="0.25">
      <c r="A64">
        <v>307183</v>
      </c>
      <c r="B64" s="1">
        <v>44577</v>
      </c>
    </row>
    <row r="65" spans="1:2" x14ac:dyDescent="0.25">
      <c r="A65">
        <v>307186</v>
      </c>
      <c r="B65" s="1">
        <v>44579</v>
      </c>
    </row>
    <row r="66" spans="1:2" x14ac:dyDescent="0.25">
      <c r="A66">
        <v>307190</v>
      </c>
      <c r="B66" s="1">
        <v>44582</v>
      </c>
    </row>
    <row r="67" spans="1:2" x14ac:dyDescent="0.25">
      <c r="A67">
        <v>307192</v>
      </c>
      <c r="B67" s="1">
        <v>44596</v>
      </c>
    </row>
    <row r="68" spans="1:2" x14ac:dyDescent="0.25">
      <c r="A68">
        <v>307197</v>
      </c>
      <c r="B68" s="1">
        <v>44707</v>
      </c>
    </row>
    <row r="69" spans="1:2" x14ac:dyDescent="0.25">
      <c r="A69">
        <v>307200</v>
      </c>
      <c r="B69" s="1">
        <v>44623</v>
      </c>
    </row>
    <row r="70" spans="1:2" x14ac:dyDescent="0.25">
      <c r="A70">
        <v>307204</v>
      </c>
      <c r="B70" s="1">
        <v>44819</v>
      </c>
    </row>
    <row r="71" spans="1:2" x14ac:dyDescent="0.25">
      <c r="A71">
        <v>307207</v>
      </c>
      <c r="B71" s="1">
        <v>44798</v>
      </c>
    </row>
    <row r="72" spans="1:2" x14ac:dyDescent="0.25">
      <c r="A72">
        <v>307212</v>
      </c>
      <c r="B72" s="1">
        <v>44623</v>
      </c>
    </row>
    <row r="73" spans="1:2" x14ac:dyDescent="0.25">
      <c r="A73">
        <v>307215</v>
      </c>
      <c r="B73" s="1">
        <v>44749</v>
      </c>
    </row>
    <row r="74" spans="1:2" x14ac:dyDescent="0.25">
      <c r="A74">
        <v>307216</v>
      </c>
      <c r="B74" s="1">
        <v>44568</v>
      </c>
    </row>
    <row r="75" spans="1:2" x14ac:dyDescent="0.25">
      <c r="A75">
        <v>307217</v>
      </c>
      <c r="B75" s="1">
        <v>44603</v>
      </c>
    </row>
    <row r="76" spans="1:2" x14ac:dyDescent="0.25">
      <c r="A76">
        <v>307219</v>
      </c>
      <c r="B76" s="1">
        <v>44747</v>
      </c>
    </row>
    <row r="77" spans="1:2" x14ac:dyDescent="0.25">
      <c r="A77">
        <v>307223</v>
      </c>
      <c r="B77" s="1">
        <v>44842</v>
      </c>
    </row>
    <row r="78" spans="1:2" x14ac:dyDescent="0.25">
      <c r="A78">
        <v>307226</v>
      </c>
      <c r="B78" s="1">
        <v>44707</v>
      </c>
    </row>
    <row r="79" spans="1:2" x14ac:dyDescent="0.25">
      <c r="A79">
        <v>307227</v>
      </c>
      <c r="B79" s="1">
        <v>44606</v>
      </c>
    </row>
    <row r="80" spans="1:2" x14ac:dyDescent="0.25">
      <c r="A80">
        <v>307231</v>
      </c>
      <c r="B80" s="1">
        <v>44660</v>
      </c>
    </row>
    <row r="81" spans="1:2" x14ac:dyDescent="0.25">
      <c r="A81">
        <v>307233</v>
      </c>
      <c r="B81" s="1">
        <v>44756</v>
      </c>
    </row>
    <row r="82" spans="1:2" x14ac:dyDescent="0.25">
      <c r="A82">
        <v>307237</v>
      </c>
      <c r="B82" s="1">
        <v>44644</v>
      </c>
    </row>
    <row r="83" spans="1:2" x14ac:dyDescent="0.25">
      <c r="A83">
        <v>307239</v>
      </c>
      <c r="B83" s="1">
        <v>44578</v>
      </c>
    </row>
    <row r="84" spans="1:2" x14ac:dyDescent="0.25">
      <c r="A84">
        <v>307241</v>
      </c>
      <c r="B84" s="1">
        <v>44833</v>
      </c>
    </row>
    <row r="85" spans="1:2" x14ac:dyDescent="0.25">
      <c r="A85">
        <v>307245</v>
      </c>
      <c r="B85" s="1">
        <v>44667</v>
      </c>
    </row>
    <row r="86" spans="1:2" x14ac:dyDescent="0.25">
      <c r="A86">
        <v>307249</v>
      </c>
      <c r="B86" s="1">
        <v>44800</v>
      </c>
    </row>
    <row r="87" spans="1:2" x14ac:dyDescent="0.25">
      <c r="A87">
        <v>307252</v>
      </c>
      <c r="B87" s="1">
        <v>44579</v>
      </c>
    </row>
    <row r="88" spans="1:2" x14ac:dyDescent="0.25">
      <c r="A88">
        <v>307255</v>
      </c>
      <c r="B88" s="1">
        <v>44832</v>
      </c>
    </row>
    <row r="89" spans="1:2" x14ac:dyDescent="0.25">
      <c r="A89">
        <v>307257</v>
      </c>
      <c r="B89" s="1">
        <v>44818</v>
      </c>
    </row>
    <row r="90" spans="1:2" x14ac:dyDescent="0.25">
      <c r="A90">
        <v>307260</v>
      </c>
      <c r="B90" s="1">
        <v>44639</v>
      </c>
    </row>
    <row r="91" spans="1:2" x14ac:dyDescent="0.25">
      <c r="A91">
        <v>307261</v>
      </c>
      <c r="B91" s="1">
        <v>44660</v>
      </c>
    </row>
    <row r="92" spans="1:2" x14ac:dyDescent="0.25">
      <c r="A92">
        <v>307266</v>
      </c>
      <c r="B92" s="1">
        <v>44713</v>
      </c>
    </row>
    <row r="93" spans="1:2" x14ac:dyDescent="0.25">
      <c r="A93">
        <v>307267</v>
      </c>
      <c r="B93" s="1">
        <v>44826</v>
      </c>
    </row>
    <row r="94" spans="1:2" x14ac:dyDescent="0.25">
      <c r="A94">
        <v>307271</v>
      </c>
      <c r="B94" s="1">
        <v>44848</v>
      </c>
    </row>
    <row r="95" spans="1:2" x14ac:dyDescent="0.25">
      <c r="A95">
        <v>307276</v>
      </c>
      <c r="B95" s="1">
        <v>44736</v>
      </c>
    </row>
    <row r="96" spans="1:2" x14ac:dyDescent="0.25">
      <c r="A96">
        <v>307281</v>
      </c>
      <c r="B96" s="1">
        <v>44743</v>
      </c>
    </row>
    <row r="97" spans="1:2" x14ac:dyDescent="0.25">
      <c r="A97">
        <v>307284</v>
      </c>
      <c r="B97" s="1">
        <v>44736</v>
      </c>
    </row>
    <row r="98" spans="1:2" x14ac:dyDescent="0.25">
      <c r="A98">
        <v>307288</v>
      </c>
      <c r="B98" s="1">
        <v>44813</v>
      </c>
    </row>
    <row r="99" spans="1:2" x14ac:dyDescent="0.25">
      <c r="A99">
        <v>307289</v>
      </c>
      <c r="B99" s="1">
        <v>44786</v>
      </c>
    </row>
    <row r="100" spans="1:2" x14ac:dyDescent="0.25">
      <c r="A100">
        <v>307291</v>
      </c>
      <c r="B100" s="1">
        <v>44726</v>
      </c>
    </row>
    <row r="101" spans="1:2" x14ac:dyDescent="0.25">
      <c r="A101">
        <v>307295</v>
      </c>
      <c r="B101" s="1">
        <v>44788</v>
      </c>
    </row>
    <row r="102" spans="1:2" x14ac:dyDescent="0.25">
      <c r="A102">
        <v>307297</v>
      </c>
      <c r="B102" s="1">
        <v>44765</v>
      </c>
    </row>
    <row r="103" spans="1:2" x14ac:dyDescent="0.25">
      <c r="A103">
        <v>307299</v>
      </c>
      <c r="B103" s="1">
        <v>44718</v>
      </c>
    </row>
    <row r="104" spans="1:2" x14ac:dyDescent="0.25">
      <c r="A104">
        <v>307304</v>
      </c>
      <c r="B104" s="1">
        <v>44795</v>
      </c>
    </row>
    <row r="105" spans="1:2" x14ac:dyDescent="0.25">
      <c r="A105">
        <v>307305</v>
      </c>
      <c r="B105" s="1">
        <v>44663</v>
      </c>
    </row>
    <row r="106" spans="1:2" x14ac:dyDescent="0.25">
      <c r="A106">
        <v>307307</v>
      </c>
      <c r="B106" s="1">
        <v>44703</v>
      </c>
    </row>
    <row r="107" spans="1:2" x14ac:dyDescent="0.25">
      <c r="A107">
        <v>307308</v>
      </c>
      <c r="B107" s="1">
        <v>44627</v>
      </c>
    </row>
    <row r="108" spans="1:2" x14ac:dyDescent="0.25">
      <c r="A108">
        <v>307309</v>
      </c>
      <c r="B108" s="1">
        <v>44808</v>
      </c>
    </row>
    <row r="109" spans="1:2" x14ac:dyDescent="0.25">
      <c r="A109">
        <v>307313</v>
      </c>
      <c r="B109" s="1">
        <v>44718</v>
      </c>
    </row>
    <row r="110" spans="1:2" x14ac:dyDescent="0.25">
      <c r="A110">
        <v>307316</v>
      </c>
      <c r="B110" s="1">
        <v>44845</v>
      </c>
    </row>
    <row r="111" spans="1:2" x14ac:dyDescent="0.25">
      <c r="A111">
        <v>307320</v>
      </c>
      <c r="B111" s="1">
        <v>44830</v>
      </c>
    </row>
    <row r="112" spans="1:2" x14ac:dyDescent="0.25">
      <c r="A112">
        <v>307323</v>
      </c>
      <c r="B112" s="1">
        <v>44798</v>
      </c>
    </row>
    <row r="113" spans="1:2" x14ac:dyDescent="0.25">
      <c r="A113">
        <v>307328</v>
      </c>
      <c r="B113" s="1">
        <v>44698</v>
      </c>
    </row>
    <row r="114" spans="1:2" x14ac:dyDescent="0.25">
      <c r="A114">
        <v>307331</v>
      </c>
      <c r="B114" s="1">
        <v>44762</v>
      </c>
    </row>
    <row r="115" spans="1:2" x14ac:dyDescent="0.25">
      <c r="A115">
        <v>307336</v>
      </c>
      <c r="B115" s="1">
        <v>44570</v>
      </c>
    </row>
    <row r="116" spans="1:2" x14ac:dyDescent="0.25">
      <c r="A116">
        <v>307341</v>
      </c>
      <c r="B116" s="1">
        <v>44743</v>
      </c>
    </row>
    <row r="117" spans="1:2" x14ac:dyDescent="0.25">
      <c r="A117">
        <v>307346</v>
      </c>
      <c r="B117" s="1">
        <v>44798</v>
      </c>
    </row>
    <row r="118" spans="1:2" x14ac:dyDescent="0.25">
      <c r="A118">
        <v>307349</v>
      </c>
      <c r="B118" s="1">
        <v>44846</v>
      </c>
    </row>
    <row r="119" spans="1:2" x14ac:dyDescent="0.25">
      <c r="A119">
        <v>307351</v>
      </c>
      <c r="B119" s="1">
        <v>44784</v>
      </c>
    </row>
    <row r="120" spans="1:2" x14ac:dyDescent="0.25">
      <c r="A120">
        <v>307356</v>
      </c>
      <c r="B120" s="1">
        <v>44632</v>
      </c>
    </row>
    <row r="121" spans="1:2" x14ac:dyDescent="0.25">
      <c r="A121">
        <v>307357</v>
      </c>
      <c r="B121" s="1">
        <v>44617</v>
      </c>
    </row>
    <row r="122" spans="1:2" x14ac:dyDescent="0.25">
      <c r="A122">
        <v>307358</v>
      </c>
      <c r="B122" s="1">
        <v>44770</v>
      </c>
    </row>
    <row r="123" spans="1:2" x14ac:dyDescent="0.25">
      <c r="A123">
        <v>307363</v>
      </c>
      <c r="B123" s="1">
        <v>44742</v>
      </c>
    </row>
    <row r="124" spans="1:2" x14ac:dyDescent="0.25">
      <c r="A124">
        <v>307365</v>
      </c>
      <c r="B124" s="1">
        <v>44744</v>
      </c>
    </row>
    <row r="125" spans="1:2" x14ac:dyDescent="0.25">
      <c r="A125">
        <v>307370</v>
      </c>
      <c r="B125" s="1">
        <v>44653</v>
      </c>
    </row>
    <row r="126" spans="1:2" x14ac:dyDescent="0.25">
      <c r="A126">
        <v>307375</v>
      </c>
      <c r="B126" s="1">
        <v>44635</v>
      </c>
    </row>
    <row r="127" spans="1:2" x14ac:dyDescent="0.25">
      <c r="A127">
        <v>307377</v>
      </c>
      <c r="B127" s="1">
        <v>44638</v>
      </c>
    </row>
    <row r="128" spans="1:2" x14ac:dyDescent="0.25">
      <c r="A128">
        <v>307378</v>
      </c>
      <c r="B128" s="1">
        <v>44635</v>
      </c>
    </row>
    <row r="129" spans="1:2" x14ac:dyDescent="0.25">
      <c r="A129">
        <v>307379</v>
      </c>
      <c r="B129" s="1">
        <v>44724</v>
      </c>
    </row>
    <row r="130" spans="1:2" x14ac:dyDescent="0.25">
      <c r="A130">
        <v>307381</v>
      </c>
      <c r="B130" s="1">
        <v>44612</v>
      </c>
    </row>
    <row r="131" spans="1:2" x14ac:dyDescent="0.25">
      <c r="A131">
        <v>307385</v>
      </c>
      <c r="B131" s="1">
        <v>44864</v>
      </c>
    </row>
    <row r="132" spans="1:2" x14ac:dyDescent="0.25">
      <c r="A132">
        <v>307390</v>
      </c>
      <c r="B132" s="1">
        <v>44857</v>
      </c>
    </row>
    <row r="133" spans="1:2" x14ac:dyDescent="0.25">
      <c r="A133">
        <v>307395</v>
      </c>
      <c r="B133" s="1">
        <v>44634</v>
      </c>
    </row>
    <row r="134" spans="1:2" x14ac:dyDescent="0.25">
      <c r="A134">
        <v>307396</v>
      </c>
      <c r="B134" s="1">
        <v>44646</v>
      </c>
    </row>
    <row r="135" spans="1:2" x14ac:dyDescent="0.25">
      <c r="A135">
        <v>307400</v>
      </c>
      <c r="B135" s="1">
        <v>44781</v>
      </c>
    </row>
    <row r="136" spans="1:2" x14ac:dyDescent="0.25">
      <c r="A136">
        <v>307403</v>
      </c>
      <c r="B136" s="1">
        <v>44684</v>
      </c>
    </row>
    <row r="137" spans="1:2" x14ac:dyDescent="0.25">
      <c r="A137">
        <v>307406</v>
      </c>
      <c r="B137" s="1">
        <v>44678</v>
      </c>
    </row>
    <row r="138" spans="1:2" x14ac:dyDescent="0.25">
      <c r="A138">
        <v>307407</v>
      </c>
      <c r="B138" s="1">
        <v>44657</v>
      </c>
    </row>
    <row r="139" spans="1:2" x14ac:dyDescent="0.25">
      <c r="A139">
        <v>307412</v>
      </c>
      <c r="B139" s="1">
        <v>44841</v>
      </c>
    </row>
    <row r="140" spans="1:2" x14ac:dyDescent="0.25">
      <c r="A140">
        <v>307417</v>
      </c>
      <c r="B140" s="1">
        <v>44616</v>
      </c>
    </row>
    <row r="141" spans="1:2" x14ac:dyDescent="0.25">
      <c r="A141">
        <v>307418</v>
      </c>
      <c r="B141" s="1">
        <v>44689</v>
      </c>
    </row>
    <row r="142" spans="1:2" x14ac:dyDescent="0.25">
      <c r="A142">
        <v>307421</v>
      </c>
      <c r="B142" s="1">
        <v>44688</v>
      </c>
    </row>
    <row r="143" spans="1:2" x14ac:dyDescent="0.25">
      <c r="A143">
        <v>307425</v>
      </c>
      <c r="B143" s="1">
        <v>44777</v>
      </c>
    </row>
    <row r="144" spans="1:2" x14ac:dyDescent="0.25">
      <c r="A144">
        <v>307428</v>
      </c>
      <c r="B144" s="1">
        <v>44766</v>
      </c>
    </row>
    <row r="145" spans="1:2" x14ac:dyDescent="0.25">
      <c r="A145">
        <v>307429</v>
      </c>
      <c r="B145" s="1">
        <v>44604</v>
      </c>
    </row>
    <row r="146" spans="1:2" x14ac:dyDescent="0.25">
      <c r="A146">
        <v>307431</v>
      </c>
      <c r="B146" s="1">
        <v>44785</v>
      </c>
    </row>
    <row r="147" spans="1:2" x14ac:dyDescent="0.25">
      <c r="A147">
        <v>307432</v>
      </c>
      <c r="B147" s="1">
        <v>44636</v>
      </c>
    </row>
    <row r="148" spans="1:2" x14ac:dyDescent="0.25">
      <c r="A148">
        <v>307435</v>
      </c>
      <c r="B148" s="1">
        <v>44855</v>
      </c>
    </row>
    <row r="149" spans="1:2" x14ac:dyDescent="0.25">
      <c r="A149">
        <v>307440</v>
      </c>
      <c r="B149" s="1">
        <v>44714</v>
      </c>
    </row>
    <row r="150" spans="1:2" x14ac:dyDescent="0.25">
      <c r="A150">
        <v>307444</v>
      </c>
      <c r="B150" s="1">
        <v>44623</v>
      </c>
    </row>
    <row r="151" spans="1:2" x14ac:dyDescent="0.25">
      <c r="A151">
        <v>307449</v>
      </c>
      <c r="B151" s="1">
        <v>44596</v>
      </c>
    </row>
    <row r="152" spans="1:2" x14ac:dyDescent="0.25">
      <c r="A152">
        <v>307451</v>
      </c>
      <c r="B152" s="1">
        <v>44805</v>
      </c>
    </row>
    <row r="153" spans="1:2" x14ac:dyDescent="0.25">
      <c r="A153">
        <v>307453</v>
      </c>
      <c r="B153" s="1">
        <v>44575</v>
      </c>
    </row>
    <row r="154" spans="1:2" x14ac:dyDescent="0.25">
      <c r="A154">
        <v>307458</v>
      </c>
      <c r="B154" s="1">
        <v>44841</v>
      </c>
    </row>
    <row r="155" spans="1:2" x14ac:dyDescent="0.25">
      <c r="A155">
        <v>307459</v>
      </c>
      <c r="B155" s="1">
        <v>44694</v>
      </c>
    </row>
    <row r="156" spans="1:2" x14ac:dyDescent="0.25">
      <c r="A156">
        <v>307463</v>
      </c>
      <c r="B156" s="1">
        <v>44648</v>
      </c>
    </row>
    <row r="157" spans="1:2" x14ac:dyDescent="0.25">
      <c r="A157">
        <v>307467</v>
      </c>
      <c r="B157" s="1">
        <v>44595</v>
      </c>
    </row>
    <row r="158" spans="1:2" x14ac:dyDescent="0.25">
      <c r="A158">
        <v>307472</v>
      </c>
      <c r="B158" s="1">
        <v>44759</v>
      </c>
    </row>
    <row r="159" spans="1:2" x14ac:dyDescent="0.25">
      <c r="A159">
        <v>307476</v>
      </c>
      <c r="B159" s="1">
        <v>44739</v>
      </c>
    </row>
    <row r="160" spans="1:2" x14ac:dyDescent="0.25">
      <c r="A160">
        <v>307479</v>
      </c>
      <c r="B160" s="1">
        <v>44744</v>
      </c>
    </row>
    <row r="161" spans="1:2" x14ac:dyDescent="0.25">
      <c r="A161">
        <v>307482</v>
      </c>
      <c r="B161" s="1">
        <v>44851</v>
      </c>
    </row>
    <row r="162" spans="1:2" x14ac:dyDescent="0.25">
      <c r="A162">
        <v>307483</v>
      </c>
      <c r="B162" s="1">
        <v>44751</v>
      </c>
    </row>
    <row r="163" spans="1:2" x14ac:dyDescent="0.25">
      <c r="A163">
        <v>307486</v>
      </c>
      <c r="B163" s="1">
        <v>44843</v>
      </c>
    </row>
    <row r="164" spans="1:2" x14ac:dyDescent="0.25">
      <c r="A164">
        <v>307491</v>
      </c>
      <c r="B164" s="1">
        <v>44721</v>
      </c>
    </row>
    <row r="165" spans="1:2" x14ac:dyDescent="0.25">
      <c r="A165">
        <v>307495</v>
      </c>
      <c r="B165" s="1">
        <v>44659</v>
      </c>
    </row>
    <row r="166" spans="1:2" x14ac:dyDescent="0.25">
      <c r="A166">
        <v>307498</v>
      </c>
      <c r="B166" s="1">
        <v>44587</v>
      </c>
    </row>
    <row r="167" spans="1:2" x14ac:dyDescent="0.25">
      <c r="A167">
        <v>307500</v>
      </c>
      <c r="B167" s="1">
        <v>44679</v>
      </c>
    </row>
    <row r="168" spans="1:2" x14ac:dyDescent="0.25">
      <c r="A168">
        <v>307505</v>
      </c>
      <c r="B168" s="1">
        <v>44585</v>
      </c>
    </row>
    <row r="169" spans="1:2" x14ac:dyDescent="0.25">
      <c r="A169">
        <v>307509</v>
      </c>
      <c r="B169" s="1">
        <v>44663</v>
      </c>
    </row>
    <row r="170" spans="1:2" x14ac:dyDescent="0.25">
      <c r="A170">
        <v>307513</v>
      </c>
      <c r="B170" s="1">
        <v>44834</v>
      </c>
    </row>
    <row r="171" spans="1:2" x14ac:dyDescent="0.25">
      <c r="A171">
        <v>307517</v>
      </c>
      <c r="B171" s="1">
        <v>44787</v>
      </c>
    </row>
    <row r="172" spans="1:2" x14ac:dyDescent="0.25">
      <c r="A172">
        <v>307518</v>
      </c>
      <c r="B172" s="1">
        <v>44776</v>
      </c>
    </row>
    <row r="173" spans="1:2" x14ac:dyDescent="0.25">
      <c r="A173">
        <v>307523</v>
      </c>
      <c r="B173" s="1">
        <v>44769</v>
      </c>
    </row>
    <row r="174" spans="1:2" x14ac:dyDescent="0.25">
      <c r="A174">
        <v>307525</v>
      </c>
      <c r="B174" s="1">
        <v>44839</v>
      </c>
    </row>
    <row r="175" spans="1:2" x14ac:dyDescent="0.25">
      <c r="A175">
        <v>307526</v>
      </c>
      <c r="B175" s="1">
        <v>44785</v>
      </c>
    </row>
    <row r="176" spans="1:2" x14ac:dyDescent="0.25">
      <c r="A176">
        <v>307527</v>
      </c>
      <c r="B176" s="1">
        <v>44673</v>
      </c>
    </row>
    <row r="177" spans="1:2" x14ac:dyDescent="0.25">
      <c r="A177">
        <v>307529</v>
      </c>
      <c r="B177" s="1">
        <v>44828</v>
      </c>
    </row>
    <row r="178" spans="1:2" x14ac:dyDescent="0.25">
      <c r="A178">
        <v>307531</v>
      </c>
      <c r="B178" s="1">
        <v>44789</v>
      </c>
    </row>
    <row r="179" spans="1:2" x14ac:dyDescent="0.25">
      <c r="A179">
        <v>307532</v>
      </c>
      <c r="B179" s="1">
        <v>44637</v>
      </c>
    </row>
    <row r="180" spans="1:2" x14ac:dyDescent="0.25">
      <c r="A180">
        <v>307534</v>
      </c>
      <c r="B180" s="1">
        <v>44821</v>
      </c>
    </row>
    <row r="181" spans="1:2" x14ac:dyDescent="0.25">
      <c r="A181">
        <v>307537</v>
      </c>
      <c r="B181" s="1">
        <v>44667</v>
      </c>
    </row>
    <row r="182" spans="1:2" x14ac:dyDescent="0.25">
      <c r="A182">
        <v>307540</v>
      </c>
      <c r="B182" s="1">
        <v>44806</v>
      </c>
    </row>
    <row r="183" spans="1:2" x14ac:dyDescent="0.25">
      <c r="A183">
        <v>307545</v>
      </c>
      <c r="B183" s="1">
        <v>44795</v>
      </c>
    </row>
    <row r="184" spans="1:2" x14ac:dyDescent="0.25">
      <c r="A184">
        <v>307550</v>
      </c>
      <c r="B184" s="1">
        <v>44586</v>
      </c>
    </row>
    <row r="185" spans="1:2" x14ac:dyDescent="0.25">
      <c r="A185">
        <v>307555</v>
      </c>
      <c r="B185" s="1">
        <v>44591</v>
      </c>
    </row>
    <row r="186" spans="1:2" x14ac:dyDescent="0.25">
      <c r="A186">
        <v>307556</v>
      </c>
      <c r="B186" s="1">
        <v>44699</v>
      </c>
    </row>
    <row r="187" spans="1:2" x14ac:dyDescent="0.25">
      <c r="A187">
        <v>307561</v>
      </c>
      <c r="B187" s="1">
        <v>44617</v>
      </c>
    </row>
    <row r="188" spans="1:2" x14ac:dyDescent="0.25">
      <c r="A188">
        <v>307562</v>
      </c>
      <c r="B188" s="1">
        <v>44786</v>
      </c>
    </row>
    <row r="189" spans="1:2" x14ac:dyDescent="0.25">
      <c r="A189">
        <v>307563</v>
      </c>
      <c r="B189" s="1">
        <v>44578</v>
      </c>
    </row>
    <row r="190" spans="1:2" x14ac:dyDescent="0.25">
      <c r="A190">
        <v>307568</v>
      </c>
      <c r="B190" s="1">
        <v>44802</v>
      </c>
    </row>
    <row r="191" spans="1:2" x14ac:dyDescent="0.25">
      <c r="A191">
        <v>307573</v>
      </c>
      <c r="B191" s="1">
        <v>44588</v>
      </c>
    </row>
    <row r="192" spans="1:2" x14ac:dyDescent="0.25">
      <c r="A192">
        <v>307575</v>
      </c>
      <c r="B192" s="1">
        <v>44620</v>
      </c>
    </row>
    <row r="193" spans="1:2" x14ac:dyDescent="0.25">
      <c r="A193">
        <v>307578</v>
      </c>
      <c r="B193" s="1">
        <v>44777</v>
      </c>
    </row>
    <row r="194" spans="1:2" x14ac:dyDescent="0.25">
      <c r="A194">
        <v>307581</v>
      </c>
      <c r="B194" s="1">
        <v>44623</v>
      </c>
    </row>
    <row r="195" spans="1:2" x14ac:dyDescent="0.25">
      <c r="A195">
        <v>307582</v>
      </c>
      <c r="B195" s="1">
        <v>44712</v>
      </c>
    </row>
    <row r="196" spans="1:2" x14ac:dyDescent="0.25">
      <c r="A196">
        <v>307587</v>
      </c>
      <c r="B196" s="1">
        <v>44577</v>
      </c>
    </row>
    <row r="197" spans="1:2" x14ac:dyDescent="0.25">
      <c r="A197">
        <v>307592</v>
      </c>
      <c r="B197" s="1">
        <v>44847</v>
      </c>
    </row>
    <row r="198" spans="1:2" x14ac:dyDescent="0.25">
      <c r="A198">
        <v>307595</v>
      </c>
      <c r="B198" s="1">
        <v>44864</v>
      </c>
    </row>
    <row r="199" spans="1:2" x14ac:dyDescent="0.25">
      <c r="A199">
        <v>307596</v>
      </c>
      <c r="B199" s="1">
        <v>44729</v>
      </c>
    </row>
    <row r="200" spans="1:2" x14ac:dyDescent="0.25">
      <c r="A200">
        <v>307600</v>
      </c>
      <c r="B200" s="1">
        <v>44861</v>
      </c>
    </row>
    <row r="201" spans="1:2" x14ac:dyDescent="0.25">
      <c r="A201">
        <v>307601</v>
      </c>
      <c r="B201" s="1">
        <v>44762</v>
      </c>
    </row>
    <row r="202" spans="1:2" x14ac:dyDescent="0.25">
      <c r="A202">
        <v>307606</v>
      </c>
      <c r="B202" s="1">
        <v>44762</v>
      </c>
    </row>
    <row r="203" spans="1:2" x14ac:dyDescent="0.25">
      <c r="A203">
        <v>307611</v>
      </c>
      <c r="B203" s="1">
        <v>44812</v>
      </c>
    </row>
    <row r="204" spans="1:2" x14ac:dyDescent="0.25">
      <c r="A204">
        <v>307613</v>
      </c>
      <c r="B204" s="1">
        <v>44617</v>
      </c>
    </row>
    <row r="205" spans="1:2" x14ac:dyDescent="0.25">
      <c r="A205">
        <v>307614</v>
      </c>
      <c r="B205" s="1">
        <v>44782</v>
      </c>
    </row>
    <row r="206" spans="1:2" x14ac:dyDescent="0.25">
      <c r="A206">
        <v>307619</v>
      </c>
      <c r="B206" s="1">
        <v>44717</v>
      </c>
    </row>
    <row r="207" spans="1:2" x14ac:dyDescent="0.25">
      <c r="A207">
        <v>307621</v>
      </c>
      <c r="B207" s="1">
        <v>44688</v>
      </c>
    </row>
    <row r="208" spans="1:2" x14ac:dyDescent="0.25">
      <c r="A208">
        <v>307626</v>
      </c>
      <c r="B208" s="1">
        <v>44769</v>
      </c>
    </row>
    <row r="209" spans="1:2" x14ac:dyDescent="0.25">
      <c r="A209">
        <v>307628</v>
      </c>
      <c r="B209" s="1">
        <v>44749</v>
      </c>
    </row>
    <row r="210" spans="1:2" x14ac:dyDescent="0.25">
      <c r="A210">
        <v>307633</v>
      </c>
      <c r="B210" s="1">
        <v>44601</v>
      </c>
    </row>
    <row r="211" spans="1:2" x14ac:dyDescent="0.25">
      <c r="A211">
        <v>307634</v>
      </c>
      <c r="B211" s="1">
        <v>44718</v>
      </c>
    </row>
    <row r="212" spans="1:2" x14ac:dyDescent="0.25">
      <c r="A212">
        <v>307635</v>
      </c>
      <c r="B212" s="1">
        <v>44574</v>
      </c>
    </row>
    <row r="213" spans="1:2" x14ac:dyDescent="0.25">
      <c r="A213">
        <v>307640</v>
      </c>
      <c r="B213" s="1">
        <v>44813</v>
      </c>
    </row>
    <row r="214" spans="1:2" x14ac:dyDescent="0.25">
      <c r="A214">
        <v>307645</v>
      </c>
      <c r="B214" s="1">
        <v>44707</v>
      </c>
    </row>
    <row r="215" spans="1:2" x14ac:dyDescent="0.25">
      <c r="A215">
        <v>307650</v>
      </c>
      <c r="B215" s="1">
        <v>44805</v>
      </c>
    </row>
    <row r="216" spans="1:2" x14ac:dyDescent="0.25">
      <c r="A216">
        <v>307651</v>
      </c>
      <c r="B216" s="1">
        <v>44804</v>
      </c>
    </row>
    <row r="217" spans="1:2" x14ac:dyDescent="0.25">
      <c r="A217">
        <v>307653</v>
      </c>
      <c r="B217" s="1">
        <v>44858</v>
      </c>
    </row>
    <row r="218" spans="1:2" x14ac:dyDescent="0.25">
      <c r="A218">
        <v>307657</v>
      </c>
      <c r="B218" s="1">
        <v>44680</v>
      </c>
    </row>
    <row r="219" spans="1:2" x14ac:dyDescent="0.25">
      <c r="A219">
        <v>307661</v>
      </c>
      <c r="B219" s="1">
        <v>44618</v>
      </c>
    </row>
    <row r="220" spans="1:2" x14ac:dyDescent="0.25">
      <c r="A220">
        <v>307662</v>
      </c>
      <c r="B220" s="1">
        <v>44603</v>
      </c>
    </row>
    <row r="221" spans="1:2" x14ac:dyDescent="0.25">
      <c r="A221">
        <v>307664</v>
      </c>
      <c r="B221" s="1">
        <v>44723</v>
      </c>
    </row>
    <row r="222" spans="1:2" x14ac:dyDescent="0.25">
      <c r="A222">
        <v>307669</v>
      </c>
      <c r="B222" s="1">
        <v>44742</v>
      </c>
    </row>
    <row r="223" spans="1:2" x14ac:dyDescent="0.25">
      <c r="A223">
        <v>307674</v>
      </c>
      <c r="B223" s="1">
        <v>44768</v>
      </c>
    </row>
    <row r="224" spans="1:2" x14ac:dyDescent="0.25">
      <c r="A224">
        <v>307679</v>
      </c>
      <c r="B224" s="1">
        <v>44841</v>
      </c>
    </row>
    <row r="225" spans="1:2" x14ac:dyDescent="0.25">
      <c r="A225">
        <v>307683</v>
      </c>
      <c r="B225" s="1">
        <v>44754</v>
      </c>
    </row>
    <row r="226" spans="1:2" x14ac:dyDescent="0.25">
      <c r="A226">
        <v>307688</v>
      </c>
      <c r="B226" s="1">
        <v>44591</v>
      </c>
    </row>
    <row r="227" spans="1:2" x14ac:dyDescent="0.25">
      <c r="A227">
        <v>307691</v>
      </c>
      <c r="B227" s="1">
        <v>44682</v>
      </c>
    </row>
    <row r="228" spans="1:2" x14ac:dyDescent="0.25">
      <c r="A228">
        <v>307692</v>
      </c>
      <c r="B228" s="1">
        <v>44738</v>
      </c>
    </row>
    <row r="229" spans="1:2" x14ac:dyDescent="0.25">
      <c r="A229">
        <v>307696</v>
      </c>
      <c r="B229" s="1">
        <v>44642</v>
      </c>
    </row>
    <row r="230" spans="1:2" x14ac:dyDescent="0.25">
      <c r="A230">
        <v>307699</v>
      </c>
      <c r="B230" s="1">
        <v>44787</v>
      </c>
    </row>
    <row r="231" spans="1:2" x14ac:dyDescent="0.25">
      <c r="A231">
        <v>307703</v>
      </c>
      <c r="B231" s="1">
        <v>44810</v>
      </c>
    </row>
    <row r="232" spans="1:2" x14ac:dyDescent="0.25">
      <c r="A232">
        <v>307708</v>
      </c>
      <c r="B232" s="1">
        <v>44703</v>
      </c>
    </row>
    <row r="233" spans="1:2" x14ac:dyDescent="0.25">
      <c r="A233">
        <v>307712</v>
      </c>
      <c r="B233" s="1">
        <v>44828</v>
      </c>
    </row>
    <row r="234" spans="1:2" x14ac:dyDescent="0.25">
      <c r="A234">
        <v>307714</v>
      </c>
      <c r="B234" s="1">
        <v>44808</v>
      </c>
    </row>
    <row r="235" spans="1:2" x14ac:dyDescent="0.25">
      <c r="A235">
        <v>307719</v>
      </c>
      <c r="B235" s="1">
        <v>44675</v>
      </c>
    </row>
    <row r="236" spans="1:2" x14ac:dyDescent="0.25">
      <c r="A236">
        <v>307721</v>
      </c>
      <c r="B236" s="1">
        <v>44573</v>
      </c>
    </row>
    <row r="237" spans="1:2" x14ac:dyDescent="0.25">
      <c r="A237">
        <v>307723</v>
      </c>
      <c r="B237" s="1">
        <v>44647</v>
      </c>
    </row>
    <row r="238" spans="1:2" x14ac:dyDescent="0.25">
      <c r="A238">
        <v>307724</v>
      </c>
      <c r="B238" s="1">
        <v>44757</v>
      </c>
    </row>
    <row r="239" spans="1:2" x14ac:dyDescent="0.25">
      <c r="A239">
        <v>307728</v>
      </c>
      <c r="B239" s="1">
        <v>44603</v>
      </c>
    </row>
    <row r="240" spans="1:2" x14ac:dyDescent="0.25">
      <c r="A240">
        <v>307732</v>
      </c>
      <c r="B240" s="1">
        <v>44762</v>
      </c>
    </row>
    <row r="241" spans="1:2" x14ac:dyDescent="0.25">
      <c r="A241">
        <v>307737</v>
      </c>
      <c r="B241" s="1">
        <v>44809</v>
      </c>
    </row>
    <row r="242" spans="1:2" x14ac:dyDescent="0.25">
      <c r="A242">
        <v>307740</v>
      </c>
      <c r="B242" s="1">
        <v>44592</v>
      </c>
    </row>
    <row r="243" spans="1:2" x14ac:dyDescent="0.25">
      <c r="A243">
        <v>307742</v>
      </c>
      <c r="B243" s="1">
        <v>44760</v>
      </c>
    </row>
    <row r="244" spans="1:2" x14ac:dyDescent="0.25">
      <c r="A244">
        <v>307743</v>
      </c>
      <c r="B244" s="1">
        <v>44720</v>
      </c>
    </row>
    <row r="245" spans="1:2" x14ac:dyDescent="0.25">
      <c r="A245">
        <v>307745</v>
      </c>
      <c r="B245" s="1">
        <v>44632</v>
      </c>
    </row>
    <row r="246" spans="1:2" x14ac:dyDescent="0.25">
      <c r="A246">
        <v>307748</v>
      </c>
      <c r="B246" s="1">
        <v>44783</v>
      </c>
    </row>
    <row r="247" spans="1:2" x14ac:dyDescent="0.25">
      <c r="A247">
        <v>307749</v>
      </c>
      <c r="B247" s="1">
        <v>44821</v>
      </c>
    </row>
    <row r="248" spans="1:2" x14ac:dyDescent="0.25">
      <c r="A248">
        <v>307751</v>
      </c>
      <c r="B248" s="1">
        <v>44743</v>
      </c>
    </row>
    <row r="249" spans="1:2" x14ac:dyDescent="0.25">
      <c r="A249">
        <v>307754</v>
      </c>
      <c r="B249" s="1">
        <v>44657</v>
      </c>
    </row>
    <row r="250" spans="1:2" x14ac:dyDescent="0.25">
      <c r="A250">
        <v>307759</v>
      </c>
      <c r="B250" s="1">
        <v>44683</v>
      </c>
    </row>
    <row r="251" spans="1:2" x14ac:dyDescent="0.25">
      <c r="A251">
        <v>307763</v>
      </c>
      <c r="B251" s="1">
        <v>44824</v>
      </c>
    </row>
    <row r="252" spans="1:2" x14ac:dyDescent="0.25">
      <c r="A252">
        <v>307764</v>
      </c>
      <c r="B252" s="1">
        <v>44631</v>
      </c>
    </row>
    <row r="253" spans="1:2" x14ac:dyDescent="0.25">
      <c r="A253">
        <v>307768</v>
      </c>
      <c r="B253" s="1">
        <v>44659</v>
      </c>
    </row>
    <row r="254" spans="1:2" x14ac:dyDescent="0.25">
      <c r="A254">
        <v>307769</v>
      </c>
      <c r="B254" s="1">
        <v>44635</v>
      </c>
    </row>
    <row r="255" spans="1:2" x14ac:dyDescent="0.25">
      <c r="A255">
        <v>307772</v>
      </c>
      <c r="B255" s="1">
        <v>44596</v>
      </c>
    </row>
    <row r="256" spans="1:2" x14ac:dyDescent="0.25">
      <c r="A256">
        <v>307774</v>
      </c>
      <c r="B256" s="1">
        <v>44635</v>
      </c>
    </row>
    <row r="257" spans="1:2" x14ac:dyDescent="0.25">
      <c r="A257">
        <v>307778</v>
      </c>
      <c r="B257" s="1">
        <v>44768</v>
      </c>
    </row>
    <row r="258" spans="1:2" x14ac:dyDescent="0.25">
      <c r="A258">
        <v>307779</v>
      </c>
      <c r="B258" s="1">
        <v>44832</v>
      </c>
    </row>
    <row r="259" spans="1:2" x14ac:dyDescent="0.25">
      <c r="A259">
        <v>307782</v>
      </c>
      <c r="B259" s="1">
        <v>44612</v>
      </c>
    </row>
    <row r="260" spans="1:2" x14ac:dyDescent="0.25">
      <c r="A260">
        <v>307787</v>
      </c>
      <c r="B260" s="1">
        <v>44791</v>
      </c>
    </row>
    <row r="261" spans="1:2" x14ac:dyDescent="0.25">
      <c r="A261">
        <v>307791</v>
      </c>
      <c r="B261" s="1">
        <v>44687</v>
      </c>
    </row>
    <row r="262" spans="1:2" x14ac:dyDescent="0.25">
      <c r="A262">
        <v>307792</v>
      </c>
      <c r="B262" s="1">
        <v>44627</v>
      </c>
    </row>
    <row r="263" spans="1:2" x14ac:dyDescent="0.25">
      <c r="A263">
        <v>307795</v>
      </c>
      <c r="B263" s="1">
        <v>44764</v>
      </c>
    </row>
    <row r="264" spans="1:2" x14ac:dyDescent="0.25">
      <c r="A264">
        <v>307800</v>
      </c>
      <c r="B264" s="1">
        <v>44799</v>
      </c>
    </row>
    <row r="265" spans="1:2" x14ac:dyDescent="0.25">
      <c r="A265">
        <v>307803</v>
      </c>
      <c r="B265" s="1">
        <v>44782</v>
      </c>
    </row>
    <row r="266" spans="1:2" x14ac:dyDescent="0.25">
      <c r="A266">
        <v>307808</v>
      </c>
      <c r="B266" s="1">
        <v>44667</v>
      </c>
    </row>
    <row r="267" spans="1:2" x14ac:dyDescent="0.25">
      <c r="A267">
        <v>307811</v>
      </c>
      <c r="B267" s="1">
        <v>44594</v>
      </c>
    </row>
    <row r="268" spans="1:2" x14ac:dyDescent="0.25">
      <c r="A268">
        <v>307816</v>
      </c>
      <c r="B268" s="1">
        <v>44707</v>
      </c>
    </row>
    <row r="269" spans="1:2" x14ac:dyDescent="0.25">
      <c r="A269">
        <v>307819</v>
      </c>
      <c r="B269" s="1">
        <v>44799</v>
      </c>
    </row>
    <row r="270" spans="1:2" x14ac:dyDescent="0.25">
      <c r="A270">
        <v>307822</v>
      </c>
      <c r="B270" s="1">
        <v>44773</v>
      </c>
    </row>
    <row r="271" spans="1:2" x14ac:dyDescent="0.25">
      <c r="A271">
        <v>307826</v>
      </c>
      <c r="B271" s="1">
        <v>44795</v>
      </c>
    </row>
    <row r="272" spans="1:2" x14ac:dyDescent="0.25">
      <c r="A272">
        <v>307827</v>
      </c>
      <c r="B272" s="1">
        <v>44574</v>
      </c>
    </row>
    <row r="273" spans="1:2" x14ac:dyDescent="0.25">
      <c r="A273">
        <v>307830</v>
      </c>
      <c r="B273" s="1">
        <v>44745</v>
      </c>
    </row>
    <row r="274" spans="1:2" x14ac:dyDescent="0.25">
      <c r="A274">
        <v>307834</v>
      </c>
      <c r="B274" s="1">
        <v>44564</v>
      </c>
    </row>
    <row r="275" spans="1:2" x14ac:dyDescent="0.25">
      <c r="A275">
        <v>307837</v>
      </c>
      <c r="B275" s="1">
        <v>44859</v>
      </c>
    </row>
    <row r="276" spans="1:2" x14ac:dyDescent="0.25">
      <c r="A276">
        <v>307838</v>
      </c>
      <c r="B276" s="1">
        <v>44639</v>
      </c>
    </row>
    <row r="277" spans="1:2" x14ac:dyDescent="0.25">
      <c r="A277">
        <v>307843</v>
      </c>
      <c r="B277" s="1">
        <v>44575</v>
      </c>
    </row>
    <row r="278" spans="1:2" x14ac:dyDescent="0.25">
      <c r="A278">
        <v>307847</v>
      </c>
      <c r="B278" s="1">
        <v>44663</v>
      </c>
    </row>
    <row r="279" spans="1:2" x14ac:dyDescent="0.25">
      <c r="A279">
        <v>307850</v>
      </c>
      <c r="B279" s="1">
        <v>44703</v>
      </c>
    </row>
    <row r="280" spans="1:2" x14ac:dyDescent="0.25">
      <c r="A280">
        <v>307853</v>
      </c>
      <c r="B280" s="1">
        <v>44614</v>
      </c>
    </row>
    <row r="281" spans="1:2" x14ac:dyDescent="0.25">
      <c r="A281">
        <v>307856</v>
      </c>
      <c r="B281" s="1">
        <v>44611</v>
      </c>
    </row>
    <row r="282" spans="1:2" x14ac:dyDescent="0.25">
      <c r="A282">
        <v>307860</v>
      </c>
      <c r="B282" s="1">
        <v>44681</v>
      </c>
    </row>
    <row r="283" spans="1:2" x14ac:dyDescent="0.25">
      <c r="A283">
        <v>307863</v>
      </c>
      <c r="B283" s="1">
        <v>44647</v>
      </c>
    </row>
    <row r="284" spans="1:2" x14ac:dyDescent="0.25">
      <c r="A284">
        <v>307867</v>
      </c>
      <c r="B284" s="1">
        <v>44838</v>
      </c>
    </row>
    <row r="285" spans="1:2" x14ac:dyDescent="0.25">
      <c r="A285">
        <v>307869</v>
      </c>
      <c r="B285" s="1">
        <v>44740</v>
      </c>
    </row>
    <row r="286" spans="1:2" x14ac:dyDescent="0.25">
      <c r="A286">
        <v>307872</v>
      </c>
      <c r="B286" s="1">
        <v>44820</v>
      </c>
    </row>
    <row r="287" spans="1:2" x14ac:dyDescent="0.25">
      <c r="A287">
        <v>307873</v>
      </c>
      <c r="B287" s="1">
        <v>44693</v>
      </c>
    </row>
    <row r="288" spans="1:2" x14ac:dyDescent="0.25">
      <c r="A288">
        <v>307876</v>
      </c>
      <c r="B288" s="1">
        <v>44648</v>
      </c>
    </row>
    <row r="289" spans="1:2" x14ac:dyDescent="0.25">
      <c r="A289">
        <v>307877</v>
      </c>
      <c r="B289" s="1">
        <v>44623</v>
      </c>
    </row>
    <row r="290" spans="1:2" x14ac:dyDescent="0.25">
      <c r="A290">
        <v>307881</v>
      </c>
      <c r="B290" s="1">
        <v>44800</v>
      </c>
    </row>
    <row r="291" spans="1:2" x14ac:dyDescent="0.25">
      <c r="A291">
        <v>307884</v>
      </c>
      <c r="B291" s="1">
        <v>44850</v>
      </c>
    </row>
    <row r="292" spans="1:2" x14ac:dyDescent="0.25">
      <c r="A292">
        <v>307885</v>
      </c>
      <c r="B292" s="1">
        <v>44620</v>
      </c>
    </row>
    <row r="293" spans="1:2" x14ac:dyDescent="0.25">
      <c r="A293">
        <v>307888</v>
      </c>
      <c r="B293" s="1">
        <v>44589</v>
      </c>
    </row>
    <row r="294" spans="1:2" x14ac:dyDescent="0.25">
      <c r="A294">
        <v>307891</v>
      </c>
      <c r="B294" s="1">
        <v>44579</v>
      </c>
    </row>
    <row r="295" spans="1:2" x14ac:dyDescent="0.25">
      <c r="A295">
        <v>307894</v>
      </c>
      <c r="B295" s="1">
        <v>44699</v>
      </c>
    </row>
    <row r="296" spans="1:2" x14ac:dyDescent="0.25">
      <c r="A296">
        <v>307897</v>
      </c>
      <c r="B296" s="1">
        <v>44593</v>
      </c>
    </row>
    <row r="297" spans="1:2" x14ac:dyDescent="0.25">
      <c r="A297">
        <v>307901</v>
      </c>
      <c r="B297" s="1">
        <v>44632</v>
      </c>
    </row>
    <row r="298" spans="1:2" x14ac:dyDescent="0.25">
      <c r="A298">
        <v>307903</v>
      </c>
      <c r="B298" s="1">
        <v>44856</v>
      </c>
    </row>
    <row r="299" spans="1:2" x14ac:dyDescent="0.25">
      <c r="A299">
        <v>307908</v>
      </c>
      <c r="B299" s="1">
        <v>44744</v>
      </c>
    </row>
    <row r="300" spans="1:2" x14ac:dyDescent="0.25">
      <c r="A300">
        <v>307911</v>
      </c>
      <c r="B300" s="1">
        <v>44575</v>
      </c>
    </row>
    <row r="301" spans="1:2" x14ac:dyDescent="0.25">
      <c r="A301">
        <v>307915</v>
      </c>
      <c r="B301" s="1">
        <v>44803</v>
      </c>
    </row>
    <row r="302" spans="1:2" x14ac:dyDescent="0.25">
      <c r="A302">
        <v>307916</v>
      </c>
      <c r="B302" s="1">
        <v>44730</v>
      </c>
    </row>
    <row r="303" spans="1:2" x14ac:dyDescent="0.25">
      <c r="A303">
        <v>307920</v>
      </c>
      <c r="B303" s="1">
        <v>44664</v>
      </c>
    </row>
    <row r="304" spans="1:2" x14ac:dyDescent="0.25">
      <c r="A304">
        <v>307922</v>
      </c>
      <c r="B304" s="1">
        <v>44642</v>
      </c>
    </row>
    <row r="305" spans="1:2" x14ac:dyDescent="0.25">
      <c r="A305">
        <v>307923</v>
      </c>
      <c r="B305" s="1">
        <v>44722</v>
      </c>
    </row>
    <row r="306" spans="1:2" x14ac:dyDescent="0.25">
      <c r="A306">
        <v>307928</v>
      </c>
      <c r="B306" s="1">
        <v>44607</v>
      </c>
    </row>
    <row r="307" spans="1:2" x14ac:dyDescent="0.25">
      <c r="A307">
        <v>307932</v>
      </c>
      <c r="B307" s="1">
        <v>44724</v>
      </c>
    </row>
    <row r="308" spans="1:2" x14ac:dyDescent="0.25">
      <c r="A308">
        <v>307937</v>
      </c>
      <c r="B308" s="1">
        <v>44611</v>
      </c>
    </row>
    <row r="309" spans="1:2" x14ac:dyDescent="0.25">
      <c r="A309">
        <v>307939</v>
      </c>
      <c r="B309" s="1">
        <v>44704</v>
      </c>
    </row>
    <row r="310" spans="1:2" x14ac:dyDescent="0.25">
      <c r="A310">
        <v>307940</v>
      </c>
      <c r="B310" s="1">
        <v>44723</v>
      </c>
    </row>
    <row r="311" spans="1:2" x14ac:dyDescent="0.25">
      <c r="A311">
        <v>307941</v>
      </c>
      <c r="B311" s="1">
        <v>44861</v>
      </c>
    </row>
    <row r="312" spans="1:2" x14ac:dyDescent="0.25">
      <c r="A312">
        <v>307942</v>
      </c>
      <c r="B312" s="1">
        <v>44703</v>
      </c>
    </row>
    <row r="313" spans="1:2" x14ac:dyDescent="0.25">
      <c r="A313">
        <v>307946</v>
      </c>
      <c r="B313" s="1">
        <v>44825</v>
      </c>
    </row>
    <row r="314" spans="1:2" x14ac:dyDescent="0.25">
      <c r="A314">
        <v>307949</v>
      </c>
      <c r="B314" s="1">
        <v>44758</v>
      </c>
    </row>
    <row r="315" spans="1:2" x14ac:dyDescent="0.25">
      <c r="A315">
        <v>307954</v>
      </c>
      <c r="B315" s="1">
        <v>44827</v>
      </c>
    </row>
    <row r="316" spans="1:2" x14ac:dyDescent="0.25">
      <c r="A316">
        <v>307957</v>
      </c>
      <c r="B316" s="1">
        <v>44823</v>
      </c>
    </row>
    <row r="317" spans="1:2" x14ac:dyDescent="0.25">
      <c r="A317">
        <v>307962</v>
      </c>
      <c r="B317" s="1">
        <v>44622</v>
      </c>
    </row>
    <row r="318" spans="1:2" x14ac:dyDescent="0.25">
      <c r="A318">
        <v>307964</v>
      </c>
      <c r="B318" s="1">
        <v>44704</v>
      </c>
    </row>
    <row r="319" spans="1:2" x14ac:dyDescent="0.25">
      <c r="A319">
        <v>307969</v>
      </c>
      <c r="B319" s="1">
        <v>44688</v>
      </c>
    </row>
    <row r="320" spans="1:2" x14ac:dyDescent="0.25">
      <c r="A320">
        <v>307971</v>
      </c>
      <c r="B320" s="1">
        <v>44755</v>
      </c>
    </row>
    <row r="321" spans="1:2" x14ac:dyDescent="0.25">
      <c r="A321">
        <v>307972</v>
      </c>
      <c r="B321" s="1">
        <v>44582</v>
      </c>
    </row>
    <row r="322" spans="1:2" x14ac:dyDescent="0.25">
      <c r="A322">
        <v>307976</v>
      </c>
      <c r="B322" s="1">
        <v>44631</v>
      </c>
    </row>
    <row r="323" spans="1:2" x14ac:dyDescent="0.25">
      <c r="A323">
        <v>307979</v>
      </c>
      <c r="B323" s="1">
        <v>44646</v>
      </c>
    </row>
    <row r="324" spans="1:2" x14ac:dyDescent="0.25">
      <c r="A324">
        <v>307983</v>
      </c>
      <c r="B324" s="1">
        <v>44722</v>
      </c>
    </row>
    <row r="325" spans="1:2" x14ac:dyDescent="0.25">
      <c r="A325">
        <v>307985</v>
      </c>
      <c r="B325" s="1">
        <v>44748</v>
      </c>
    </row>
    <row r="326" spans="1:2" x14ac:dyDescent="0.25">
      <c r="A326">
        <v>307986</v>
      </c>
      <c r="B326" s="1">
        <v>44841</v>
      </c>
    </row>
    <row r="327" spans="1:2" x14ac:dyDescent="0.25">
      <c r="A327">
        <v>307988</v>
      </c>
      <c r="B327" s="1">
        <v>44738</v>
      </c>
    </row>
    <row r="328" spans="1:2" x14ac:dyDescent="0.25">
      <c r="A328">
        <v>307990</v>
      </c>
      <c r="B328" s="1">
        <v>44858</v>
      </c>
    </row>
    <row r="329" spans="1:2" x14ac:dyDescent="0.25">
      <c r="A329">
        <v>307993</v>
      </c>
      <c r="B329" s="1">
        <v>44629</v>
      </c>
    </row>
    <row r="330" spans="1:2" x14ac:dyDescent="0.25">
      <c r="A330">
        <v>307998</v>
      </c>
      <c r="B330" s="1">
        <v>44603</v>
      </c>
    </row>
    <row r="331" spans="1:2" x14ac:dyDescent="0.25">
      <c r="A331">
        <v>308000</v>
      </c>
      <c r="B331" s="1">
        <v>44794</v>
      </c>
    </row>
    <row r="332" spans="1:2" x14ac:dyDescent="0.25">
      <c r="A332">
        <v>308001</v>
      </c>
      <c r="B332" s="1">
        <v>44739</v>
      </c>
    </row>
    <row r="333" spans="1:2" x14ac:dyDescent="0.25">
      <c r="A333">
        <v>308004</v>
      </c>
      <c r="B333" s="1">
        <v>44592</v>
      </c>
    </row>
    <row r="334" spans="1:2" x14ac:dyDescent="0.25">
      <c r="A334">
        <v>308008</v>
      </c>
      <c r="B334" s="1">
        <v>44633</v>
      </c>
    </row>
    <row r="335" spans="1:2" x14ac:dyDescent="0.25">
      <c r="A335">
        <v>308011</v>
      </c>
      <c r="B335" s="1">
        <v>44579</v>
      </c>
    </row>
    <row r="336" spans="1:2" x14ac:dyDescent="0.25">
      <c r="A336">
        <v>308013</v>
      </c>
      <c r="B336" s="1">
        <v>44851</v>
      </c>
    </row>
    <row r="337" spans="1:2" x14ac:dyDescent="0.25">
      <c r="A337">
        <v>308018</v>
      </c>
      <c r="B337" s="1">
        <v>44633</v>
      </c>
    </row>
    <row r="338" spans="1:2" x14ac:dyDescent="0.25">
      <c r="A338">
        <v>308023</v>
      </c>
      <c r="B338" s="1">
        <v>44798</v>
      </c>
    </row>
    <row r="339" spans="1:2" x14ac:dyDescent="0.25">
      <c r="A339">
        <v>308024</v>
      </c>
      <c r="B339" s="1">
        <v>44671</v>
      </c>
    </row>
    <row r="340" spans="1:2" x14ac:dyDescent="0.25">
      <c r="A340">
        <v>308029</v>
      </c>
      <c r="B340" s="1">
        <v>44592</v>
      </c>
    </row>
    <row r="341" spans="1:2" x14ac:dyDescent="0.25">
      <c r="A341">
        <v>308032</v>
      </c>
      <c r="B341" s="1">
        <v>44696</v>
      </c>
    </row>
    <row r="342" spans="1:2" x14ac:dyDescent="0.25">
      <c r="A342">
        <v>308035</v>
      </c>
      <c r="B342" s="1">
        <v>44605</v>
      </c>
    </row>
    <row r="343" spans="1:2" x14ac:dyDescent="0.25">
      <c r="A343">
        <v>308040</v>
      </c>
      <c r="B343" s="1">
        <v>44613</v>
      </c>
    </row>
    <row r="344" spans="1:2" x14ac:dyDescent="0.25">
      <c r="A344">
        <v>308041</v>
      </c>
      <c r="B344" s="1">
        <v>44716</v>
      </c>
    </row>
    <row r="345" spans="1:2" x14ac:dyDescent="0.25">
      <c r="A345">
        <v>308046</v>
      </c>
      <c r="B345" s="1">
        <v>44839</v>
      </c>
    </row>
    <row r="346" spans="1:2" x14ac:dyDescent="0.25">
      <c r="A346">
        <v>308048</v>
      </c>
      <c r="B346" s="1">
        <v>44769</v>
      </c>
    </row>
    <row r="347" spans="1:2" x14ac:dyDescent="0.25">
      <c r="A347">
        <v>308050</v>
      </c>
      <c r="B347" s="1">
        <v>44777</v>
      </c>
    </row>
    <row r="348" spans="1:2" x14ac:dyDescent="0.25">
      <c r="A348">
        <v>308051</v>
      </c>
      <c r="B348" s="1">
        <v>44572</v>
      </c>
    </row>
    <row r="349" spans="1:2" x14ac:dyDescent="0.25">
      <c r="A349">
        <v>308055</v>
      </c>
      <c r="B349" s="1">
        <v>44757</v>
      </c>
    </row>
    <row r="350" spans="1:2" x14ac:dyDescent="0.25">
      <c r="A350">
        <v>308059</v>
      </c>
      <c r="B350" s="1">
        <v>44733</v>
      </c>
    </row>
    <row r="351" spans="1:2" x14ac:dyDescent="0.25">
      <c r="A351">
        <v>308063</v>
      </c>
      <c r="B351" s="1">
        <v>44614</v>
      </c>
    </row>
    <row r="352" spans="1:2" x14ac:dyDescent="0.25">
      <c r="A352">
        <v>308066</v>
      </c>
      <c r="B352" s="1">
        <v>44615</v>
      </c>
    </row>
    <row r="353" spans="1:2" x14ac:dyDescent="0.25">
      <c r="A353">
        <v>308067</v>
      </c>
      <c r="B353" s="1">
        <v>44700</v>
      </c>
    </row>
    <row r="354" spans="1:2" x14ac:dyDescent="0.25">
      <c r="A354">
        <v>308068</v>
      </c>
      <c r="B354" s="1">
        <v>44675</v>
      </c>
    </row>
    <row r="355" spans="1:2" x14ac:dyDescent="0.25">
      <c r="A355">
        <v>308073</v>
      </c>
      <c r="B355" s="1">
        <v>44741</v>
      </c>
    </row>
    <row r="356" spans="1:2" x14ac:dyDescent="0.25">
      <c r="A356">
        <v>308077</v>
      </c>
      <c r="B356" s="1">
        <v>44658</v>
      </c>
    </row>
    <row r="357" spans="1:2" x14ac:dyDescent="0.25">
      <c r="A357">
        <v>308082</v>
      </c>
      <c r="B357" s="1">
        <v>44817</v>
      </c>
    </row>
    <row r="358" spans="1:2" x14ac:dyDescent="0.25">
      <c r="A358">
        <v>308084</v>
      </c>
      <c r="B358" s="1">
        <v>44641</v>
      </c>
    </row>
    <row r="359" spans="1:2" x14ac:dyDescent="0.25">
      <c r="A359">
        <v>308085</v>
      </c>
      <c r="B359" s="1">
        <v>44627</v>
      </c>
    </row>
    <row r="360" spans="1:2" x14ac:dyDescent="0.25">
      <c r="A360">
        <v>308086</v>
      </c>
      <c r="B360" s="1">
        <v>44656</v>
      </c>
    </row>
    <row r="361" spans="1:2" x14ac:dyDescent="0.25">
      <c r="A361">
        <v>308089</v>
      </c>
      <c r="B361" s="1">
        <v>44633</v>
      </c>
    </row>
    <row r="362" spans="1:2" x14ac:dyDescent="0.25">
      <c r="A362">
        <v>308090</v>
      </c>
      <c r="B362" s="1">
        <v>44758</v>
      </c>
    </row>
    <row r="363" spans="1:2" x14ac:dyDescent="0.25">
      <c r="A363">
        <v>308095</v>
      </c>
      <c r="B363" s="1">
        <v>44634</v>
      </c>
    </row>
    <row r="364" spans="1:2" x14ac:dyDescent="0.25">
      <c r="A364">
        <v>308100</v>
      </c>
      <c r="B364" s="1">
        <v>44650</v>
      </c>
    </row>
    <row r="365" spans="1:2" x14ac:dyDescent="0.25">
      <c r="A365">
        <v>308101</v>
      </c>
      <c r="B365" s="1">
        <v>44610</v>
      </c>
    </row>
    <row r="366" spans="1:2" x14ac:dyDescent="0.25">
      <c r="A366">
        <v>308106</v>
      </c>
      <c r="B366" s="1">
        <v>44800</v>
      </c>
    </row>
    <row r="367" spans="1:2" x14ac:dyDescent="0.25">
      <c r="A367">
        <v>308111</v>
      </c>
      <c r="B367" s="1">
        <v>44614</v>
      </c>
    </row>
    <row r="368" spans="1:2" x14ac:dyDescent="0.25">
      <c r="A368">
        <v>308116</v>
      </c>
      <c r="B368" s="1">
        <v>44678</v>
      </c>
    </row>
    <row r="369" spans="1:2" x14ac:dyDescent="0.25">
      <c r="A369">
        <v>308118</v>
      </c>
      <c r="B369" s="1">
        <v>44830</v>
      </c>
    </row>
    <row r="370" spans="1:2" x14ac:dyDescent="0.25">
      <c r="A370">
        <v>308122</v>
      </c>
      <c r="B370" s="1">
        <v>44791</v>
      </c>
    </row>
    <row r="371" spans="1:2" x14ac:dyDescent="0.25">
      <c r="A371">
        <v>308127</v>
      </c>
      <c r="B371" s="1">
        <v>44664</v>
      </c>
    </row>
    <row r="372" spans="1:2" x14ac:dyDescent="0.25">
      <c r="A372">
        <v>308129</v>
      </c>
      <c r="B372" s="1">
        <v>44862</v>
      </c>
    </row>
    <row r="373" spans="1:2" x14ac:dyDescent="0.25">
      <c r="A373">
        <v>308133</v>
      </c>
      <c r="B373" s="1">
        <v>44780</v>
      </c>
    </row>
    <row r="374" spans="1:2" x14ac:dyDescent="0.25">
      <c r="A374">
        <v>308138</v>
      </c>
      <c r="B374" s="1">
        <v>44784</v>
      </c>
    </row>
    <row r="375" spans="1:2" x14ac:dyDescent="0.25">
      <c r="A375">
        <v>308141</v>
      </c>
      <c r="B375" s="1">
        <v>44770</v>
      </c>
    </row>
    <row r="376" spans="1:2" x14ac:dyDescent="0.25">
      <c r="A376">
        <v>308143</v>
      </c>
      <c r="B376" s="1">
        <v>44620</v>
      </c>
    </row>
    <row r="377" spans="1:2" x14ac:dyDescent="0.25">
      <c r="A377">
        <v>308144</v>
      </c>
      <c r="B377" s="1">
        <v>44565</v>
      </c>
    </row>
    <row r="378" spans="1:2" x14ac:dyDescent="0.25">
      <c r="A378">
        <v>308147</v>
      </c>
      <c r="B378" s="1">
        <v>44821</v>
      </c>
    </row>
    <row r="379" spans="1:2" x14ac:dyDescent="0.25">
      <c r="A379">
        <v>308150</v>
      </c>
      <c r="B379" s="1">
        <v>44588</v>
      </c>
    </row>
    <row r="380" spans="1:2" x14ac:dyDescent="0.25">
      <c r="A380">
        <v>308155</v>
      </c>
      <c r="B380" s="1">
        <v>44638</v>
      </c>
    </row>
    <row r="381" spans="1:2" x14ac:dyDescent="0.25">
      <c r="A381">
        <v>308159</v>
      </c>
      <c r="B381" s="1">
        <v>44812</v>
      </c>
    </row>
    <row r="382" spans="1:2" x14ac:dyDescent="0.25">
      <c r="A382">
        <v>308160</v>
      </c>
      <c r="B382" s="1">
        <v>44565</v>
      </c>
    </row>
    <row r="383" spans="1:2" x14ac:dyDescent="0.25">
      <c r="A383">
        <v>308162</v>
      </c>
      <c r="B383" s="1">
        <v>44570</v>
      </c>
    </row>
    <row r="384" spans="1:2" x14ac:dyDescent="0.25">
      <c r="A384">
        <v>308163</v>
      </c>
      <c r="B384" s="1">
        <v>44730</v>
      </c>
    </row>
    <row r="385" spans="1:2" x14ac:dyDescent="0.25">
      <c r="A385">
        <v>308164</v>
      </c>
      <c r="B385" s="1">
        <v>44662</v>
      </c>
    </row>
    <row r="386" spans="1:2" x14ac:dyDescent="0.25">
      <c r="A386">
        <v>308169</v>
      </c>
      <c r="B386" s="1">
        <v>44794</v>
      </c>
    </row>
    <row r="387" spans="1:2" x14ac:dyDescent="0.25">
      <c r="A387">
        <v>308173</v>
      </c>
      <c r="B387" s="1">
        <v>44732</v>
      </c>
    </row>
    <row r="388" spans="1:2" x14ac:dyDescent="0.25">
      <c r="A388">
        <v>308175</v>
      </c>
      <c r="B388" s="1">
        <v>44598</v>
      </c>
    </row>
    <row r="389" spans="1:2" x14ac:dyDescent="0.25">
      <c r="A389">
        <v>308177</v>
      </c>
      <c r="B389" s="1">
        <v>44771</v>
      </c>
    </row>
    <row r="390" spans="1:2" x14ac:dyDescent="0.25">
      <c r="A390">
        <v>308179</v>
      </c>
      <c r="B390" s="1">
        <v>44744</v>
      </c>
    </row>
    <row r="391" spans="1:2" x14ac:dyDescent="0.25">
      <c r="A391">
        <v>308181</v>
      </c>
      <c r="B391" s="1">
        <v>44859</v>
      </c>
    </row>
    <row r="392" spans="1:2" x14ac:dyDescent="0.25">
      <c r="A392">
        <v>308185</v>
      </c>
      <c r="B392" s="1">
        <v>44612</v>
      </c>
    </row>
    <row r="393" spans="1:2" x14ac:dyDescent="0.25">
      <c r="A393">
        <v>308189</v>
      </c>
      <c r="B393" s="1">
        <v>44768</v>
      </c>
    </row>
    <row r="394" spans="1:2" x14ac:dyDescent="0.25">
      <c r="A394">
        <v>308192</v>
      </c>
      <c r="B394" s="1">
        <v>44659</v>
      </c>
    </row>
    <row r="395" spans="1:2" x14ac:dyDescent="0.25">
      <c r="A395">
        <v>308194</v>
      </c>
      <c r="B395" s="1">
        <v>44810</v>
      </c>
    </row>
    <row r="396" spans="1:2" x14ac:dyDescent="0.25">
      <c r="A396">
        <v>308198</v>
      </c>
      <c r="B396" s="1">
        <v>44666</v>
      </c>
    </row>
    <row r="397" spans="1:2" x14ac:dyDescent="0.25">
      <c r="A397">
        <v>308201</v>
      </c>
      <c r="B397" s="1">
        <v>44703</v>
      </c>
    </row>
    <row r="398" spans="1:2" x14ac:dyDescent="0.25">
      <c r="A398">
        <v>308205</v>
      </c>
      <c r="B398" s="1">
        <v>44802</v>
      </c>
    </row>
    <row r="399" spans="1:2" x14ac:dyDescent="0.25">
      <c r="A399">
        <v>308206</v>
      </c>
      <c r="B399" s="1">
        <v>44627</v>
      </c>
    </row>
    <row r="400" spans="1:2" x14ac:dyDescent="0.25">
      <c r="A400">
        <v>308211</v>
      </c>
      <c r="B400" s="1">
        <v>44576</v>
      </c>
    </row>
    <row r="401" spans="1:2" x14ac:dyDescent="0.25">
      <c r="A401">
        <v>308213</v>
      </c>
      <c r="B401" s="1">
        <v>44771</v>
      </c>
    </row>
    <row r="402" spans="1:2" x14ac:dyDescent="0.25">
      <c r="A402">
        <v>308217</v>
      </c>
      <c r="B402" s="1">
        <v>44576</v>
      </c>
    </row>
    <row r="403" spans="1:2" x14ac:dyDescent="0.25">
      <c r="A403">
        <v>308222</v>
      </c>
      <c r="B403" s="1">
        <v>44659</v>
      </c>
    </row>
    <row r="404" spans="1:2" x14ac:dyDescent="0.25">
      <c r="A404">
        <v>308223</v>
      </c>
      <c r="B404" s="1">
        <v>44567</v>
      </c>
    </row>
    <row r="405" spans="1:2" x14ac:dyDescent="0.25">
      <c r="A405">
        <v>308224</v>
      </c>
      <c r="B405" s="1">
        <v>44749</v>
      </c>
    </row>
    <row r="406" spans="1:2" x14ac:dyDescent="0.25">
      <c r="A406">
        <v>308226</v>
      </c>
      <c r="B406" s="1">
        <v>44680</v>
      </c>
    </row>
    <row r="407" spans="1:2" x14ac:dyDescent="0.25">
      <c r="A407">
        <v>308231</v>
      </c>
      <c r="B407" s="1">
        <v>44748</v>
      </c>
    </row>
    <row r="408" spans="1:2" x14ac:dyDescent="0.25">
      <c r="A408">
        <v>308235</v>
      </c>
      <c r="B408" s="1">
        <v>44568</v>
      </c>
    </row>
    <row r="409" spans="1:2" x14ac:dyDescent="0.25">
      <c r="A409">
        <v>308238</v>
      </c>
      <c r="B409" s="1">
        <v>44748</v>
      </c>
    </row>
    <row r="410" spans="1:2" x14ac:dyDescent="0.25">
      <c r="A410">
        <v>308241</v>
      </c>
      <c r="B410" s="1">
        <v>44718</v>
      </c>
    </row>
    <row r="411" spans="1:2" x14ac:dyDescent="0.25">
      <c r="A411">
        <v>308246</v>
      </c>
      <c r="B411" s="1">
        <v>44853</v>
      </c>
    </row>
    <row r="412" spans="1:2" x14ac:dyDescent="0.25">
      <c r="A412">
        <v>308249</v>
      </c>
      <c r="B412" s="1">
        <v>44740</v>
      </c>
    </row>
    <row r="413" spans="1:2" x14ac:dyDescent="0.25">
      <c r="A413">
        <v>308252</v>
      </c>
      <c r="B413" s="1">
        <v>44643</v>
      </c>
    </row>
    <row r="414" spans="1:2" x14ac:dyDescent="0.25">
      <c r="A414">
        <v>308255</v>
      </c>
      <c r="B414" s="1">
        <v>44647</v>
      </c>
    </row>
    <row r="415" spans="1:2" x14ac:dyDescent="0.25">
      <c r="A415">
        <v>308256</v>
      </c>
      <c r="B415" s="1">
        <v>44815</v>
      </c>
    </row>
    <row r="416" spans="1:2" x14ac:dyDescent="0.25">
      <c r="A416">
        <v>308257</v>
      </c>
      <c r="B416" s="1">
        <v>44852</v>
      </c>
    </row>
    <row r="417" spans="1:2" x14ac:dyDescent="0.25">
      <c r="A417">
        <v>308258</v>
      </c>
      <c r="B417" s="1">
        <v>44745</v>
      </c>
    </row>
    <row r="418" spans="1:2" x14ac:dyDescent="0.25">
      <c r="A418">
        <v>308263</v>
      </c>
      <c r="B418" s="1">
        <v>44606</v>
      </c>
    </row>
    <row r="419" spans="1:2" x14ac:dyDescent="0.25">
      <c r="A419">
        <v>308266</v>
      </c>
      <c r="B419" s="1">
        <v>44703</v>
      </c>
    </row>
    <row r="420" spans="1:2" x14ac:dyDescent="0.25">
      <c r="A420">
        <v>308267</v>
      </c>
      <c r="B420" s="1">
        <v>44700</v>
      </c>
    </row>
    <row r="421" spans="1:2" x14ac:dyDescent="0.25">
      <c r="A421">
        <v>308270</v>
      </c>
      <c r="B421" s="1">
        <v>44683</v>
      </c>
    </row>
    <row r="422" spans="1:2" x14ac:dyDescent="0.25">
      <c r="A422">
        <v>308272</v>
      </c>
      <c r="B422" s="1">
        <v>44576</v>
      </c>
    </row>
    <row r="423" spans="1:2" x14ac:dyDescent="0.25">
      <c r="A423">
        <v>308274</v>
      </c>
      <c r="B423" s="1">
        <v>44810</v>
      </c>
    </row>
    <row r="424" spans="1:2" x14ac:dyDescent="0.25">
      <c r="A424">
        <v>308275</v>
      </c>
      <c r="B424" s="1">
        <v>44753</v>
      </c>
    </row>
    <row r="425" spans="1:2" x14ac:dyDescent="0.25">
      <c r="A425">
        <v>308278</v>
      </c>
      <c r="B425" s="1">
        <v>44599</v>
      </c>
    </row>
    <row r="426" spans="1:2" x14ac:dyDescent="0.25">
      <c r="A426">
        <v>308279</v>
      </c>
      <c r="B426" s="1">
        <v>44621</v>
      </c>
    </row>
    <row r="427" spans="1:2" x14ac:dyDescent="0.25">
      <c r="A427">
        <v>308280</v>
      </c>
      <c r="B427" s="1">
        <v>44809</v>
      </c>
    </row>
    <row r="428" spans="1:2" x14ac:dyDescent="0.25">
      <c r="A428">
        <v>308282</v>
      </c>
      <c r="B428" s="1">
        <v>44578</v>
      </c>
    </row>
    <row r="429" spans="1:2" x14ac:dyDescent="0.25">
      <c r="A429">
        <v>308286</v>
      </c>
      <c r="B429" s="1">
        <v>44615</v>
      </c>
    </row>
    <row r="430" spans="1:2" x14ac:dyDescent="0.25">
      <c r="A430">
        <v>308288</v>
      </c>
      <c r="B430" s="1">
        <v>44779</v>
      </c>
    </row>
    <row r="431" spans="1:2" x14ac:dyDescent="0.25">
      <c r="A431">
        <v>308293</v>
      </c>
      <c r="B431" s="1">
        <v>44757</v>
      </c>
    </row>
    <row r="432" spans="1:2" x14ac:dyDescent="0.25">
      <c r="A432">
        <v>308294</v>
      </c>
      <c r="B432" s="1">
        <v>44594</v>
      </c>
    </row>
    <row r="433" spans="1:2" x14ac:dyDescent="0.25">
      <c r="A433">
        <v>308299</v>
      </c>
      <c r="B433" s="1">
        <v>44627</v>
      </c>
    </row>
    <row r="434" spans="1:2" x14ac:dyDescent="0.25">
      <c r="A434">
        <v>308304</v>
      </c>
      <c r="B434" s="1">
        <v>44851</v>
      </c>
    </row>
    <row r="435" spans="1:2" x14ac:dyDescent="0.25">
      <c r="A435">
        <v>308308</v>
      </c>
      <c r="B435" s="1">
        <v>44630</v>
      </c>
    </row>
    <row r="436" spans="1:2" x14ac:dyDescent="0.25">
      <c r="A436">
        <v>308313</v>
      </c>
      <c r="B436" s="1">
        <v>44589</v>
      </c>
    </row>
    <row r="437" spans="1:2" x14ac:dyDescent="0.25">
      <c r="A437">
        <v>308318</v>
      </c>
      <c r="B437" s="1">
        <v>44622</v>
      </c>
    </row>
    <row r="438" spans="1:2" x14ac:dyDescent="0.25">
      <c r="A438">
        <v>308323</v>
      </c>
      <c r="B438" s="1">
        <v>44756</v>
      </c>
    </row>
    <row r="439" spans="1:2" x14ac:dyDescent="0.25">
      <c r="A439">
        <v>308328</v>
      </c>
      <c r="B439" s="1">
        <v>44592</v>
      </c>
    </row>
    <row r="440" spans="1:2" x14ac:dyDescent="0.25">
      <c r="A440">
        <v>308333</v>
      </c>
      <c r="B440" s="1">
        <v>44784</v>
      </c>
    </row>
    <row r="441" spans="1:2" x14ac:dyDescent="0.25">
      <c r="A441">
        <v>308337</v>
      </c>
      <c r="B441" s="1">
        <v>44573</v>
      </c>
    </row>
    <row r="442" spans="1:2" x14ac:dyDescent="0.25">
      <c r="A442">
        <v>308340</v>
      </c>
      <c r="B442" s="1">
        <v>44595</v>
      </c>
    </row>
    <row r="443" spans="1:2" x14ac:dyDescent="0.25">
      <c r="A443">
        <v>308342</v>
      </c>
      <c r="B443" s="1">
        <v>44682</v>
      </c>
    </row>
    <row r="444" spans="1:2" x14ac:dyDescent="0.25">
      <c r="A444">
        <v>308347</v>
      </c>
      <c r="B444" s="1">
        <v>44802</v>
      </c>
    </row>
    <row r="445" spans="1:2" x14ac:dyDescent="0.25">
      <c r="A445">
        <v>308348</v>
      </c>
      <c r="B445" s="1">
        <v>44863</v>
      </c>
    </row>
    <row r="446" spans="1:2" x14ac:dyDescent="0.25">
      <c r="A446">
        <v>308352</v>
      </c>
      <c r="B446" s="1">
        <v>44602</v>
      </c>
    </row>
    <row r="447" spans="1:2" x14ac:dyDescent="0.25">
      <c r="A447">
        <v>308353</v>
      </c>
      <c r="B447" s="1">
        <v>44665</v>
      </c>
    </row>
    <row r="448" spans="1:2" x14ac:dyDescent="0.25">
      <c r="A448">
        <v>308356</v>
      </c>
      <c r="B448" s="1">
        <v>44748</v>
      </c>
    </row>
    <row r="449" spans="1:2" x14ac:dyDescent="0.25">
      <c r="A449">
        <v>308361</v>
      </c>
      <c r="B449" s="1">
        <v>44838</v>
      </c>
    </row>
    <row r="450" spans="1:2" x14ac:dyDescent="0.25">
      <c r="A450">
        <v>308363</v>
      </c>
      <c r="B450" s="1">
        <v>44624</v>
      </c>
    </row>
    <row r="451" spans="1:2" x14ac:dyDescent="0.25">
      <c r="A451">
        <v>308368</v>
      </c>
      <c r="B451" s="1">
        <v>44832</v>
      </c>
    </row>
    <row r="452" spans="1:2" x14ac:dyDescent="0.25">
      <c r="A452">
        <v>308369</v>
      </c>
      <c r="B452" s="1">
        <v>44573</v>
      </c>
    </row>
    <row r="453" spans="1:2" x14ac:dyDescent="0.25">
      <c r="A453">
        <v>308372</v>
      </c>
      <c r="B453" s="1">
        <v>44834</v>
      </c>
    </row>
    <row r="454" spans="1:2" x14ac:dyDescent="0.25">
      <c r="A454">
        <v>308374</v>
      </c>
      <c r="B454" s="1">
        <v>44705</v>
      </c>
    </row>
    <row r="455" spans="1:2" x14ac:dyDescent="0.25">
      <c r="A455">
        <v>308379</v>
      </c>
      <c r="B455" s="1">
        <v>44579</v>
      </c>
    </row>
    <row r="456" spans="1:2" x14ac:dyDescent="0.25">
      <c r="A456">
        <v>308380</v>
      </c>
      <c r="B456" s="1">
        <v>44697</v>
      </c>
    </row>
    <row r="457" spans="1:2" x14ac:dyDescent="0.25">
      <c r="A457">
        <v>308382</v>
      </c>
      <c r="B457" s="1">
        <v>44699</v>
      </c>
    </row>
    <row r="458" spans="1:2" x14ac:dyDescent="0.25">
      <c r="A458">
        <v>308387</v>
      </c>
      <c r="B458" s="1">
        <v>44749</v>
      </c>
    </row>
    <row r="459" spans="1:2" x14ac:dyDescent="0.25">
      <c r="A459">
        <v>308392</v>
      </c>
      <c r="B459" s="1">
        <v>44768</v>
      </c>
    </row>
    <row r="460" spans="1:2" x14ac:dyDescent="0.25">
      <c r="A460">
        <v>308397</v>
      </c>
      <c r="B460" s="1">
        <v>44711</v>
      </c>
    </row>
    <row r="461" spans="1:2" x14ac:dyDescent="0.25">
      <c r="A461">
        <v>308399</v>
      </c>
      <c r="B461" s="1">
        <v>44678</v>
      </c>
    </row>
    <row r="462" spans="1:2" x14ac:dyDescent="0.25">
      <c r="A462">
        <v>308400</v>
      </c>
      <c r="B462" s="1">
        <v>44752</v>
      </c>
    </row>
    <row r="463" spans="1:2" x14ac:dyDescent="0.25">
      <c r="A463">
        <v>308405</v>
      </c>
      <c r="B463" s="1">
        <v>44760</v>
      </c>
    </row>
    <row r="464" spans="1:2" x14ac:dyDescent="0.25">
      <c r="A464">
        <v>308410</v>
      </c>
      <c r="B464" s="1">
        <v>44569</v>
      </c>
    </row>
    <row r="465" spans="1:2" x14ac:dyDescent="0.25">
      <c r="A465">
        <v>308414</v>
      </c>
      <c r="B465" s="1">
        <v>44605</v>
      </c>
    </row>
    <row r="466" spans="1:2" x14ac:dyDescent="0.25">
      <c r="A466">
        <v>308416</v>
      </c>
      <c r="B466" s="1">
        <v>44747</v>
      </c>
    </row>
    <row r="467" spans="1:2" x14ac:dyDescent="0.25">
      <c r="A467">
        <v>308420</v>
      </c>
      <c r="B467" s="1">
        <v>44857</v>
      </c>
    </row>
    <row r="468" spans="1:2" x14ac:dyDescent="0.25">
      <c r="A468">
        <v>308423</v>
      </c>
      <c r="B468" s="1">
        <v>44671</v>
      </c>
    </row>
    <row r="469" spans="1:2" x14ac:dyDescent="0.25">
      <c r="A469">
        <v>308426</v>
      </c>
      <c r="B469" s="1">
        <v>44564</v>
      </c>
    </row>
    <row r="470" spans="1:2" x14ac:dyDescent="0.25">
      <c r="A470">
        <v>308429</v>
      </c>
      <c r="B470" s="1">
        <v>44775</v>
      </c>
    </row>
    <row r="471" spans="1:2" x14ac:dyDescent="0.25">
      <c r="A471">
        <v>308431</v>
      </c>
      <c r="B471" s="1">
        <v>44601</v>
      </c>
    </row>
    <row r="472" spans="1:2" x14ac:dyDescent="0.25">
      <c r="A472">
        <v>308433</v>
      </c>
      <c r="B472" s="1">
        <v>44857</v>
      </c>
    </row>
    <row r="473" spans="1:2" x14ac:dyDescent="0.25">
      <c r="A473">
        <v>308438</v>
      </c>
      <c r="B473" s="1">
        <v>44663</v>
      </c>
    </row>
    <row r="474" spans="1:2" x14ac:dyDescent="0.25">
      <c r="A474">
        <v>308439</v>
      </c>
      <c r="B474" s="1">
        <v>44631</v>
      </c>
    </row>
    <row r="475" spans="1:2" x14ac:dyDescent="0.25">
      <c r="A475">
        <v>308442</v>
      </c>
      <c r="B475" s="1">
        <v>44601</v>
      </c>
    </row>
    <row r="476" spans="1:2" x14ac:dyDescent="0.25">
      <c r="A476">
        <v>308445</v>
      </c>
      <c r="B476" s="1">
        <v>44632</v>
      </c>
    </row>
    <row r="477" spans="1:2" x14ac:dyDescent="0.25">
      <c r="A477">
        <v>308446</v>
      </c>
      <c r="B477" s="1">
        <v>44698</v>
      </c>
    </row>
    <row r="478" spans="1:2" x14ac:dyDescent="0.25">
      <c r="A478">
        <v>308447</v>
      </c>
      <c r="B478" s="1">
        <v>44694</v>
      </c>
    </row>
    <row r="479" spans="1:2" x14ac:dyDescent="0.25">
      <c r="A479">
        <v>308451</v>
      </c>
      <c r="B479" s="1">
        <v>44696</v>
      </c>
    </row>
    <row r="480" spans="1:2" x14ac:dyDescent="0.25">
      <c r="A480">
        <v>308456</v>
      </c>
      <c r="B480" s="1">
        <v>44854</v>
      </c>
    </row>
    <row r="481" spans="1:2" x14ac:dyDescent="0.25">
      <c r="A481">
        <v>308461</v>
      </c>
      <c r="B481" s="1">
        <v>44737</v>
      </c>
    </row>
    <row r="482" spans="1:2" x14ac:dyDescent="0.25">
      <c r="A482">
        <v>308465</v>
      </c>
      <c r="B482" s="1">
        <v>44709</v>
      </c>
    </row>
    <row r="483" spans="1:2" x14ac:dyDescent="0.25">
      <c r="A483">
        <v>308468</v>
      </c>
      <c r="B483" s="1">
        <v>44699</v>
      </c>
    </row>
    <row r="484" spans="1:2" x14ac:dyDescent="0.25">
      <c r="A484">
        <v>308473</v>
      </c>
      <c r="B484" s="1">
        <v>44833</v>
      </c>
    </row>
    <row r="485" spans="1:2" x14ac:dyDescent="0.25">
      <c r="A485">
        <v>308474</v>
      </c>
      <c r="B485" s="1">
        <v>44589</v>
      </c>
    </row>
    <row r="486" spans="1:2" x14ac:dyDescent="0.25">
      <c r="A486">
        <v>308475</v>
      </c>
      <c r="B486" s="1">
        <v>44761</v>
      </c>
    </row>
    <row r="487" spans="1:2" x14ac:dyDescent="0.25">
      <c r="A487">
        <v>308479</v>
      </c>
      <c r="B487" s="1">
        <v>44761</v>
      </c>
    </row>
    <row r="488" spans="1:2" x14ac:dyDescent="0.25">
      <c r="A488">
        <v>308480</v>
      </c>
      <c r="B488" s="1">
        <v>44688</v>
      </c>
    </row>
    <row r="489" spans="1:2" x14ac:dyDescent="0.25">
      <c r="A489">
        <v>308481</v>
      </c>
      <c r="B489" s="1">
        <v>44855</v>
      </c>
    </row>
    <row r="490" spans="1:2" x14ac:dyDescent="0.25">
      <c r="A490">
        <v>308483</v>
      </c>
      <c r="B490" s="1">
        <v>44790</v>
      </c>
    </row>
    <row r="491" spans="1:2" x14ac:dyDescent="0.25">
      <c r="A491">
        <v>308488</v>
      </c>
      <c r="B491" s="1">
        <v>44600</v>
      </c>
    </row>
    <row r="492" spans="1:2" x14ac:dyDescent="0.25">
      <c r="A492">
        <v>308493</v>
      </c>
      <c r="B492" s="1">
        <v>44574</v>
      </c>
    </row>
    <row r="493" spans="1:2" x14ac:dyDescent="0.25">
      <c r="A493">
        <v>308496</v>
      </c>
      <c r="B493" s="1">
        <v>44681</v>
      </c>
    </row>
    <row r="494" spans="1:2" x14ac:dyDescent="0.25">
      <c r="A494">
        <v>308497</v>
      </c>
      <c r="B494" s="1">
        <v>44813</v>
      </c>
    </row>
    <row r="495" spans="1:2" x14ac:dyDescent="0.25">
      <c r="A495">
        <v>308498</v>
      </c>
      <c r="B495" s="1">
        <v>44783</v>
      </c>
    </row>
    <row r="496" spans="1:2" x14ac:dyDescent="0.25">
      <c r="A496">
        <v>308502</v>
      </c>
      <c r="B496" s="1">
        <v>44656</v>
      </c>
    </row>
    <row r="497" spans="1:2" x14ac:dyDescent="0.25">
      <c r="A497">
        <v>308506</v>
      </c>
      <c r="B497" s="1">
        <v>44715</v>
      </c>
    </row>
    <row r="498" spans="1:2" x14ac:dyDescent="0.25">
      <c r="A498">
        <v>308510</v>
      </c>
      <c r="B498" s="1">
        <v>44564</v>
      </c>
    </row>
    <row r="499" spans="1:2" x14ac:dyDescent="0.25">
      <c r="A499">
        <v>308513</v>
      </c>
      <c r="B499" s="1">
        <v>44820</v>
      </c>
    </row>
    <row r="500" spans="1:2" x14ac:dyDescent="0.25">
      <c r="A500">
        <v>308514</v>
      </c>
      <c r="B500" s="1">
        <v>44604</v>
      </c>
    </row>
    <row r="501" spans="1:2" x14ac:dyDescent="0.25">
      <c r="A501">
        <v>308515</v>
      </c>
      <c r="B501" s="1">
        <v>44581</v>
      </c>
    </row>
    <row r="502" spans="1:2" x14ac:dyDescent="0.25">
      <c r="A502">
        <v>308520</v>
      </c>
      <c r="B502" s="1">
        <v>44776</v>
      </c>
    </row>
    <row r="503" spans="1:2" x14ac:dyDescent="0.25">
      <c r="A503">
        <v>308524</v>
      </c>
      <c r="B503" s="1">
        <v>44729</v>
      </c>
    </row>
    <row r="504" spans="1:2" x14ac:dyDescent="0.25">
      <c r="A504">
        <v>308525</v>
      </c>
      <c r="B504" s="1">
        <v>44834</v>
      </c>
    </row>
    <row r="505" spans="1:2" x14ac:dyDescent="0.25">
      <c r="A505">
        <v>308526</v>
      </c>
      <c r="B505" s="1">
        <v>44586</v>
      </c>
    </row>
    <row r="506" spans="1:2" x14ac:dyDescent="0.25">
      <c r="A506">
        <v>308531</v>
      </c>
      <c r="B506" s="1">
        <v>44578</v>
      </c>
    </row>
    <row r="507" spans="1:2" x14ac:dyDescent="0.25">
      <c r="A507">
        <v>308534</v>
      </c>
      <c r="B507" s="1">
        <v>44812</v>
      </c>
    </row>
    <row r="508" spans="1:2" x14ac:dyDescent="0.25">
      <c r="A508">
        <v>308536</v>
      </c>
      <c r="B508" s="1">
        <v>44755</v>
      </c>
    </row>
    <row r="509" spans="1:2" x14ac:dyDescent="0.25">
      <c r="A509">
        <v>308540</v>
      </c>
      <c r="B509" s="1">
        <v>44595</v>
      </c>
    </row>
    <row r="510" spans="1:2" x14ac:dyDescent="0.25">
      <c r="A510">
        <v>308545</v>
      </c>
      <c r="B510" s="1">
        <v>44619</v>
      </c>
    </row>
    <row r="511" spans="1:2" x14ac:dyDescent="0.25">
      <c r="A511">
        <v>308549</v>
      </c>
      <c r="B511" s="1">
        <v>44618</v>
      </c>
    </row>
    <row r="512" spans="1:2" x14ac:dyDescent="0.25">
      <c r="A512">
        <v>308551</v>
      </c>
      <c r="B512" s="1">
        <v>44809</v>
      </c>
    </row>
    <row r="513" spans="1:2" x14ac:dyDescent="0.25">
      <c r="A513">
        <v>308555</v>
      </c>
      <c r="B513" s="1">
        <v>44848</v>
      </c>
    </row>
    <row r="514" spans="1:2" x14ac:dyDescent="0.25">
      <c r="A514">
        <v>308559</v>
      </c>
      <c r="B514" s="1">
        <v>44572</v>
      </c>
    </row>
    <row r="515" spans="1:2" x14ac:dyDescent="0.25">
      <c r="A515">
        <v>308564</v>
      </c>
      <c r="B515" s="1">
        <v>44813</v>
      </c>
    </row>
    <row r="516" spans="1:2" x14ac:dyDescent="0.25">
      <c r="A516">
        <v>308565</v>
      </c>
      <c r="B516" s="1">
        <v>44847</v>
      </c>
    </row>
    <row r="517" spans="1:2" x14ac:dyDescent="0.25">
      <c r="A517">
        <v>308569</v>
      </c>
      <c r="B517" s="1">
        <v>44737</v>
      </c>
    </row>
    <row r="518" spans="1:2" x14ac:dyDescent="0.25">
      <c r="A518">
        <v>308572</v>
      </c>
      <c r="B518" s="1">
        <v>44712</v>
      </c>
    </row>
    <row r="519" spans="1:2" x14ac:dyDescent="0.25">
      <c r="A519">
        <v>308576</v>
      </c>
      <c r="B519" s="1">
        <v>44847</v>
      </c>
    </row>
    <row r="520" spans="1:2" x14ac:dyDescent="0.25">
      <c r="A520">
        <v>308579</v>
      </c>
      <c r="B520" s="1">
        <v>44584</v>
      </c>
    </row>
    <row r="521" spans="1:2" x14ac:dyDescent="0.25">
      <c r="A521">
        <v>308582</v>
      </c>
      <c r="B521" s="1">
        <v>44826</v>
      </c>
    </row>
    <row r="522" spans="1:2" x14ac:dyDescent="0.25">
      <c r="A522">
        <v>308585</v>
      </c>
      <c r="B522" s="1">
        <v>44688</v>
      </c>
    </row>
    <row r="523" spans="1:2" x14ac:dyDescent="0.25">
      <c r="A523">
        <v>308589</v>
      </c>
      <c r="B523" s="1">
        <v>44744</v>
      </c>
    </row>
    <row r="524" spans="1:2" x14ac:dyDescent="0.25">
      <c r="A524">
        <v>308594</v>
      </c>
      <c r="B524" s="1">
        <v>44721</v>
      </c>
    </row>
    <row r="525" spans="1:2" x14ac:dyDescent="0.25">
      <c r="A525">
        <v>308599</v>
      </c>
      <c r="B525" s="1">
        <v>44602</v>
      </c>
    </row>
    <row r="526" spans="1:2" x14ac:dyDescent="0.25">
      <c r="A526">
        <v>308603</v>
      </c>
      <c r="B526" s="1">
        <v>44822</v>
      </c>
    </row>
    <row r="527" spans="1:2" x14ac:dyDescent="0.25">
      <c r="A527">
        <v>308605</v>
      </c>
      <c r="B527" s="1">
        <v>44576</v>
      </c>
    </row>
    <row r="528" spans="1:2" x14ac:dyDescent="0.25">
      <c r="A528">
        <v>308608</v>
      </c>
      <c r="B528" s="1">
        <v>44759</v>
      </c>
    </row>
    <row r="529" spans="1:2" x14ac:dyDescent="0.25">
      <c r="A529">
        <v>308612</v>
      </c>
      <c r="B529" s="1">
        <v>44747</v>
      </c>
    </row>
    <row r="530" spans="1:2" x14ac:dyDescent="0.25">
      <c r="A530">
        <v>308616</v>
      </c>
      <c r="B530" s="1">
        <v>44630</v>
      </c>
    </row>
    <row r="531" spans="1:2" x14ac:dyDescent="0.25">
      <c r="A531">
        <v>308621</v>
      </c>
      <c r="B531" s="1">
        <v>44739</v>
      </c>
    </row>
    <row r="532" spans="1:2" x14ac:dyDescent="0.25">
      <c r="A532">
        <v>308623</v>
      </c>
      <c r="B532" s="1">
        <v>44617</v>
      </c>
    </row>
    <row r="533" spans="1:2" x14ac:dyDescent="0.25">
      <c r="A533">
        <v>308625</v>
      </c>
      <c r="B533" s="1">
        <v>44658</v>
      </c>
    </row>
    <row r="534" spans="1:2" x14ac:dyDescent="0.25">
      <c r="A534">
        <v>308626</v>
      </c>
      <c r="B534" s="1">
        <v>44716</v>
      </c>
    </row>
    <row r="535" spans="1:2" x14ac:dyDescent="0.25">
      <c r="A535">
        <v>308629</v>
      </c>
      <c r="B535" s="1">
        <v>44784</v>
      </c>
    </row>
    <row r="536" spans="1:2" x14ac:dyDescent="0.25">
      <c r="A536">
        <v>308630</v>
      </c>
      <c r="B536" s="1">
        <v>44626</v>
      </c>
    </row>
    <row r="537" spans="1:2" x14ac:dyDescent="0.25">
      <c r="A537">
        <v>308633</v>
      </c>
      <c r="B537" s="1">
        <v>44776</v>
      </c>
    </row>
    <row r="538" spans="1:2" x14ac:dyDescent="0.25">
      <c r="A538">
        <v>308634</v>
      </c>
      <c r="B538" s="1">
        <v>44847</v>
      </c>
    </row>
    <row r="539" spans="1:2" x14ac:dyDescent="0.25">
      <c r="A539">
        <v>308635</v>
      </c>
      <c r="B539" s="1">
        <v>44658</v>
      </c>
    </row>
    <row r="540" spans="1:2" x14ac:dyDescent="0.25">
      <c r="A540">
        <v>308636</v>
      </c>
      <c r="B540" s="1">
        <v>44817</v>
      </c>
    </row>
    <row r="541" spans="1:2" x14ac:dyDescent="0.25">
      <c r="A541">
        <v>308641</v>
      </c>
      <c r="B541" s="1">
        <v>44627</v>
      </c>
    </row>
    <row r="542" spans="1:2" x14ac:dyDescent="0.25">
      <c r="A542">
        <v>308642</v>
      </c>
      <c r="B542" s="1">
        <v>44631</v>
      </c>
    </row>
    <row r="543" spans="1:2" x14ac:dyDescent="0.25">
      <c r="A543">
        <v>308643</v>
      </c>
      <c r="B543" s="1">
        <v>44838</v>
      </c>
    </row>
    <row r="544" spans="1:2" x14ac:dyDescent="0.25">
      <c r="A544">
        <v>308648</v>
      </c>
      <c r="B544" s="1">
        <v>44638</v>
      </c>
    </row>
    <row r="545" spans="1:2" x14ac:dyDescent="0.25">
      <c r="A545">
        <v>308650</v>
      </c>
      <c r="B545" s="1">
        <v>44703</v>
      </c>
    </row>
    <row r="546" spans="1:2" x14ac:dyDescent="0.25">
      <c r="A546">
        <v>308654</v>
      </c>
      <c r="B546" s="1">
        <v>44671</v>
      </c>
    </row>
    <row r="547" spans="1:2" x14ac:dyDescent="0.25">
      <c r="A547">
        <v>308659</v>
      </c>
      <c r="B547" s="1">
        <v>44626</v>
      </c>
    </row>
    <row r="548" spans="1:2" x14ac:dyDescent="0.25">
      <c r="A548">
        <v>308664</v>
      </c>
      <c r="B548" s="1">
        <v>44839</v>
      </c>
    </row>
    <row r="549" spans="1:2" x14ac:dyDescent="0.25">
      <c r="A549">
        <v>308668</v>
      </c>
      <c r="B549" s="1">
        <v>44638</v>
      </c>
    </row>
    <row r="550" spans="1:2" x14ac:dyDescent="0.25">
      <c r="A550">
        <v>308672</v>
      </c>
      <c r="B550" s="1">
        <v>44675</v>
      </c>
    </row>
    <row r="551" spans="1:2" x14ac:dyDescent="0.25">
      <c r="A551">
        <v>308677</v>
      </c>
      <c r="B551" s="1">
        <v>44800</v>
      </c>
    </row>
    <row r="552" spans="1:2" x14ac:dyDescent="0.25">
      <c r="A552">
        <v>308680</v>
      </c>
      <c r="B552" s="1">
        <v>44835</v>
      </c>
    </row>
    <row r="553" spans="1:2" x14ac:dyDescent="0.25">
      <c r="A553">
        <v>308682</v>
      </c>
      <c r="B553" s="1">
        <v>44859</v>
      </c>
    </row>
    <row r="554" spans="1:2" x14ac:dyDescent="0.25">
      <c r="A554">
        <v>308687</v>
      </c>
      <c r="B554" s="1">
        <v>44800</v>
      </c>
    </row>
    <row r="555" spans="1:2" x14ac:dyDescent="0.25">
      <c r="A555">
        <v>308688</v>
      </c>
      <c r="B555" s="1">
        <v>44850</v>
      </c>
    </row>
    <row r="556" spans="1:2" x14ac:dyDescent="0.25">
      <c r="A556">
        <v>308691</v>
      </c>
      <c r="B556" s="1">
        <v>44710</v>
      </c>
    </row>
    <row r="557" spans="1:2" x14ac:dyDescent="0.25">
      <c r="A557">
        <v>308696</v>
      </c>
      <c r="B557" s="1">
        <v>44755</v>
      </c>
    </row>
    <row r="558" spans="1:2" x14ac:dyDescent="0.25">
      <c r="A558">
        <v>308700</v>
      </c>
      <c r="B558" s="1">
        <v>44833</v>
      </c>
    </row>
    <row r="559" spans="1:2" x14ac:dyDescent="0.25">
      <c r="A559">
        <v>308703</v>
      </c>
      <c r="B559" s="1">
        <v>44769</v>
      </c>
    </row>
    <row r="560" spans="1:2" x14ac:dyDescent="0.25">
      <c r="A560">
        <v>308706</v>
      </c>
      <c r="B560" s="1">
        <v>44648</v>
      </c>
    </row>
    <row r="561" spans="1:2" x14ac:dyDescent="0.25">
      <c r="A561">
        <v>308710</v>
      </c>
      <c r="B561" s="1">
        <v>44743</v>
      </c>
    </row>
    <row r="562" spans="1:2" x14ac:dyDescent="0.25">
      <c r="A562">
        <v>308713</v>
      </c>
      <c r="B562" s="1">
        <v>44801</v>
      </c>
    </row>
    <row r="563" spans="1:2" x14ac:dyDescent="0.25">
      <c r="A563">
        <v>308717</v>
      </c>
      <c r="B563" s="1">
        <v>44832</v>
      </c>
    </row>
    <row r="564" spans="1:2" x14ac:dyDescent="0.25">
      <c r="A564">
        <v>308718</v>
      </c>
      <c r="B564" s="1">
        <v>44637</v>
      </c>
    </row>
    <row r="565" spans="1:2" x14ac:dyDescent="0.25">
      <c r="A565">
        <v>308723</v>
      </c>
      <c r="B565" s="1">
        <v>44818</v>
      </c>
    </row>
    <row r="566" spans="1:2" x14ac:dyDescent="0.25">
      <c r="A566">
        <v>308725</v>
      </c>
      <c r="B566" s="1">
        <v>44659</v>
      </c>
    </row>
    <row r="567" spans="1:2" x14ac:dyDescent="0.25">
      <c r="A567">
        <v>308726</v>
      </c>
      <c r="B567" s="1">
        <v>44564</v>
      </c>
    </row>
    <row r="568" spans="1:2" x14ac:dyDescent="0.25">
      <c r="A568">
        <v>308728</v>
      </c>
      <c r="B568" s="1">
        <v>44803</v>
      </c>
    </row>
    <row r="569" spans="1:2" x14ac:dyDescent="0.25">
      <c r="A569">
        <v>308731</v>
      </c>
      <c r="B569" s="1">
        <v>44823</v>
      </c>
    </row>
    <row r="570" spans="1:2" x14ac:dyDescent="0.25">
      <c r="A570">
        <v>308732</v>
      </c>
      <c r="B570" s="1">
        <v>44852</v>
      </c>
    </row>
    <row r="571" spans="1:2" x14ac:dyDescent="0.25">
      <c r="A571">
        <v>308733</v>
      </c>
      <c r="B571" s="1">
        <v>44636</v>
      </c>
    </row>
    <row r="572" spans="1:2" x14ac:dyDescent="0.25">
      <c r="A572">
        <v>308737</v>
      </c>
      <c r="B572" s="1">
        <v>44580</v>
      </c>
    </row>
    <row r="573" spans="1:2" x14ac:dyDescent="0.25">
      <c r="A573">
        <v>308740</v>
      </c>
      <c r="B573" s="1">
        <v>44831</v>
      </c>
    </row>
    <row r="574" spans="1:2" x14ac:dyDescent="0.25">
      <c r="A574">
        <v>308741</v>
      </c>
      <c r="B574" s="1">
        <v>44801</v>
      </c>
    </row>
    <row r="575" spans="1:2" x14ac:dyDescent="0.25">
      <c r="A575">
        <v>308742</v>
      </c>
      <c r="B575" s="1">
        <v>44599</v>
      </c>
    </row>
    <row r="576" spans="1:2" x14ac:dyDescent="0.25">
      <c r="A576">
        <v>308744</v>
      </c>
      <c r="B576" s="1">
        <v>44856</v>
      </c>
    </row>
    <row r="577" spans="1:2" x14ac:dyDescent="0.25">
      <c r="A577">
        <v>308745</v>
      </c>
      <c r="B577" s="1">
        <v>44619</v>
      </c>
    </row>
    <row r="578" spans="1:2" x14ac:dyDescent="0.25">
      <c r="A578">
        <v>308750</v>
      </c>
      <c r="B578" s="1">
        <v>44682</v>
      </c>
    </row>
    <row r="579" spans="1:2" x14ac:dyDescent="0.25">
      <c r="A579">
        <v>308753</v>
      </c>
      <c r="B579" s="1">
        <v>44693</v>
      </c>
    </row>
    <row r="580" spans="1:2" x14ac:dyDescent="0.25">
      <c r="A580">
        <v>308757</v>
      </c>
      <c r="B580" s="1">
        <v>44643</v>
      </c>
    </row>
    <row r="581" spans="1:2" x14ac:dyDescent="0.25">
      <c r="A581">
        <v>308759</v>
      </c>
      <c r="B581" s="1">
        <v>44793</v>
      </c>
    </row>
    <row r="582" spans="1:2" x14ac:dyDescent="0.25">
      <c r="A582">
        <v>308762</v>
      </c>
      <c r="B582" s="1">
        <v>44825</v>
      </c>
    </row>
    <row r="583" spans="1:2" x14ac:dyDescent="0.25">
      <c r="A583">
        <v>308766</v>
      </c>
      <c r="B583" s="1">
        <v>44723</v>
      </c>
    </row>
    <row r="584" spans="1:2" x14ac:dyDescent="0.25">
      <c r="A584">
        <v>308767</v>
      </c>
      <c r="B584" s="1">
        <v>44673</v>
      </c>
    </row>
    <row r="585" spans="1:2" x14ac:dyDescent="0.25">
      <c r="A585">
        <v>308768</v>
      </c>
      <c r="B585" s="1">
        <v>44628</v>
      </c>
    </row>
    <row r="586" spans="1:2" x14ac:dyDescent="0.25">
      <c r="A586">
        <v>308772</v>
      </c>
      <c r="B586" s="1">
        <v>44805</v>
      </c>
    </row>
    <row r="587" spans="1:2" x14ac:dyDescent="0.25">
      <c r="A587">
        <v>308777</v>
      </c>
      <c r="B587" s="1">
        <v>44726</v>
      </c>
    </row>
    <row r="588" spans="1:2" x14ac:dyDescent="0.25">
      <c r="A588">
        <v>308778</v>
      </c>
      <c r="B588" s="1">
        <v>44796</v>
      </c>
    </row>
    <row r="589" spans="1:2" x14ac:dyDescent="0.25">
      <c r="A589">
        <v>308781</v>
      </c>
      <c r="B589" s="1">
        <v>44738</v>
      </c>
    </row>
    <row r="590" spans="1:2" x14ac:dyDescent="0.25">
      <c r="A590">
        <v>308785</v>
      </c>
      <c r="B590" s="1">
        <v>44662</v>
      </c>
    </row>
    <row r="591" spans="1:2" x14ac:dyDescent="0.25">
      <c r="A591">
        <v>308788</v>
      </c>
      <c r="B591" s="1">
        <v>44770</v>
      </c>
    </row>
    <row r="592" spans="1:2" x14ac:dyDescent="0.25">
      <c r="A592">
        <v>308792</v>
      </c>
      <c r="B592" s="1">
        <v>44771</v>
      </c>
    </row>
    <row r="593" spans="1:2" x14ac:dyDescent="0.25">
      <c r="A593">
        <v>308795</v>
      </c>
      <c r="B593" s="1">
        <v>44735</v>
      </c>
    </row>
    <row r="594" spans="1:2" x14ac:dyDescent="0.25">
      <c r="A594">
        <v>308799</v>
      </c>
      <c r="B594" s="1">
        <v>44564</v>
      </c>
    </row>
    <row r="595" spans="1:2" x14ac:dyDescent="0.25">
      <c r="A595">
        <v>308803</v>
      </c>
      <c r="B595" s="1">
        <v>44768</v>
      </c>
    </row>
    <row r="596" spans="1:2" x14ac:dyDescent="0.25">
      <c r="A596">
        <v>308806</v>
      </c>
      <c r="B596" s="1">
        <v>44634</v>
      </c>
    </row>
    <row r="597" spans="1:2" x14ac:dyDescent="0.25">
      <c r="A597">
        <v>308809</v>
      </c>
      <c r="B597" s="1">
        <v>44752</v>
      </c>
    </row>
    <row r="598" spans="1:2" x14ac:dyDescent="0.25">
      <c r="A598">
        <v>308814</v>
      </c>
      <c r="B598" s="1">
        <v>44761</v>
      </c>
    </row>
    <row r="599" spans="1:2" x14ac:dyDescent="0.25">
      <c r="A599">
        <v>308817</v>
      </c>
      <c r="B599" s="1">
        <v>44623</v>
      </c>
    </row>
    <row r="600" spans="1:2" x14ac:dyDescent="0.25">
      <c r="A600">
        <v>308819</v>
      </c>
      <c r="B600" s="1">
        <v>44779</v>
      </c>
    </row>
    <row r="601" spans="1:2" x14ac:dyDescent="0.25">
      <c r="A601">
        <v>308822</v>
      </c>
      <c r="B601" s="1">
        <v>44629</v>
      </c>
    </row>
    <row r="602" spans="1:2" x14ac:dyDescent="0.25">
      <c r="A602">
        <v>308826</v>
      </c>
      <c r="B602" s="1">
        <v>44603</v>
      </c>
    </row>
    <row r="603" spans="1:2" x14ac:dyDescent="0.25">
      <c r="A603">
        <v>308828</v>
      </c>
      <c r="B603" s="1">
        <v>44709</v>
      </c>
    </row>
    <row r="604" spans="1:2" x14ac:dyDescent="0.25">
      <c r="A604">
        <v>308830</v>
      </c>
      <c r="B604" s="1">
        <v>44677</v>
      </c>
    </row>
    <row r="605" spans="1:2" x14ac:dyDescent="0.25">
      <c r="A605">
        <v>308834</v>
      </c>
      <c r="B605" s="1">
        <v>44809</v>
      </c>
    </row>
    <row r="606" spans="1:2" x14ac:dyDescent="0.25">
      <c r="A606">
        <v>308836</v>
      </c>
      <c r="B606" s="1">
        <v>44664</v>
      </c>
    </row>
    <row r="607" spans="1:2" x14ac:dyDescent="0.25">
      <c r="A607">
        <v>308840</v>
      </c>
      <c r="B607" s="1">
        <v>44720</v>
      </c>
    </row>
    <row r="608" spans="1:2" x14ac:dyDescent="0.25">
      <c r="A608">
        <v>308842</v>
      </c>
      <c r="B608" s="1">
        <v>44680</v>
      </c>
    </row>
    <row r="609" spans="1:2" x14ac:dyDescent="0.25">
      <c r="A609">
        <v>308844</v>
      </c>
      <c r="B609" s="1">
        <v>44826</v>
      </c>
    </row>
    <row r="610" spans="1:2" x14ac:dyDescent="0.25">
      <c r="A610">
        <v>308847</v>
      </c>
      <c r="B610" s="1">
        <v>44689</v>
      </c>
    </row>
    <row r="611" spans="1:2" x14ac:dyDescent="0.25">
      <c r="A611">
        <v>308849</v>
      </c>
      <c r="B611" s="1">
        <v>44772</v>
      </c>
    </row>
    <row r="612" spans="1:2" x14ac:dyDescent="0.25">
      <c r="A612">
        <v>308851</v>
      </c>
      <c r="B612" s="1">
        <v>44675</v>
      </c>
    </row>
    <row r="613" spans="1:2" x14ac:dyDescent="0.25">
      <c r="A613">
        <v>308852</v>
      </c>
      <c r="B613" s="1">
        <v>44570</v>
      </c>
    </row>
    <row r="614" spans="1:2" x14ac:dyDescent="0.25">
      <c r="A614">
        <v>308854</v>
      </c>
      <c r="B614" s="1">
        <v>44697</v>
      </c>
    </row>
    <row r="615" spans="1:2" x14ac:dyDescent="0.25">
      <c r="A615">
        <v>308857</v>
      </c>
      <c r="B615" s="1">
        <v>44752</v>
      </c>
    </row>
    <row r="616" spans="1:2" x14ac:dyDescent="0.25">
      <c r="A616">
        <v>308858</v>
      </c>
      <c r="B616" s="1">
        <v>44702</v>
      </c>
    </row>
    <row r="617" spans="1:2" x14ac:dyDescent="0.25">
      <c r="A617">
        <v>308859</v>
      </c>
      <c r="B617" s="1">
        <v>44712</v>
      </c>
    </row>
    <row r="618" spans="1:2" x14ac:dyDescent="0.25">
      <c r="A618">
        <v>308861</v>
      </c>
      <c r="B618" s="1">
        <v>44611</v>
      </c>
    </row>
    <row r="619" spans="1:2" x14ac:dyDescent="0.25">
      <c r="A619">
        <v>308862</v>
      </c>
      <c r="B619" s="1">
        <v>44672</v>
      </c>
    </row>
    <row r="620" spans="1:2" x14ac:dyDescent="0.25">
      <c r="A620">
        <v>308863</v>
      </c>
      <c r="B620" s="1">
        <v>44806</v>
      </c>
    </row>
    <row r="621" spans="1:2" x14ac:dyDescent="0.25">
      <c r="A621">
        <v>308865</v>
      </c>
      <c r="B621" s="1">
        <v>44672</v>
      </c>
    </row>
    <row r="622" spans="1:2" x14ac:dyDescent="0.25">
      <c r="A622">
        <v>308868</v>
      </c>
      <c r="B622" s="1">
        <v>44837</v>
      </c>
    </row>
    <row r="623" spans="1:2" x14ac:dyDescent="0.25">
      <c r="A623">
        <v>308871</v>
      </c>
      <c r="B623" s="1">
        <v>44578</v>
      </c>
    </row>
    <row r="624" spans="1:2" x14ac:dyDescent="0.25">
      <c r="A624">
        <v>308872</v>
      </c>
      <c r="B624" s="1">
        <v>44589</v>
      </c>
    </row>
    <row r="625" spans="1:2" x14ac:dyDescent="0.25">
      <c r="A625">
        <v>308873</v>
      </c>
      <c r="B625" s="1">
        <v>44859</v>
      </c>
    </row>
    <row r="626" spans="1:2" x14ac:dyDescent="0.25">
      <c r="A626">
        <v>308877</v>
      </c>
      <c r="B626" s="1">
        <v>44805</v>
      </c>
    </row>
    <row r="627" spans="1:2" x14ac:dyDescent="0.25">
      <c r="A627">
        <v>308879</v>
      </c>
      <c r="B627" s="1">
        <v>44591</v>
      </c>
    </row>
    <row r="628" spans="1:2" x14ac:dyDescent="0.25">
      <c r="A628">
        <v>308883</v>
      </c>
      <c r="B628" s="1">
        <v>44849</v>
      </c>
    </row>
    <row r="629" spans="1:2" x14ac:dyDescent="0.25">
      <c r="A629">
        <v>308886</v>
      </c>
      <c r="B629" s="1">
        <v>44645</v>
      </c>
    </row>
    <row r="630" spans="1:2" x14ac:dyDescent="0.25">
      <c r="A630">
        <v>308889</v>
      </c>
      <c r="B630" s="1">
        <v>44636</v>
      </c>
    </row>
    <row r="631" spans="1:2" x14ac:dyDescent="0.25">
      <c r="A631">
        <v>308890</v>
      </c>
      <c r="B631" s="1">
        <v>44615</v>
      </c>
    </row>
    <row r="632" spans="1:2" x14ac:dyDescent="0.25">
      <c r="A632">
        <v>308893</v>
      </c>
      <c r="B632" s="1">
        <v>44656</v>
      </c>
    </row>
    <row r="633" spans="1:2" x14ac:dyDescent="0.25">
      <c r="A633">
        <v>308895</v>
      </c>
      <c r="B633" s="1">
        <v>44706</v>
      </c>
    </row>
    <row r="634" spans="1:2" x14ac:dyDescent="0.25">
      <c r="A634">
        <v>308898</v>
      </c>
      <c r="B634" s="1">
        <v>44643</v>
      </c>
    </row>
    <row r="635" spans="1:2" x14ac:dyDescent="0.25">
      <c r="A635">
        <v>308903</v>
      </c>
      <c r="B635" s="1">
        <v>44761</v>
      </c>
    </row>
    <row r="636" spans="1:2" x14ac:dyDescent="0.25">
      <c r="A636">
        <v>308906</v>
      </c>
      <c r="B636" s="1">
        <v>44819</v>
      </c>
    </row>
    <row r="637" spans="1:2" x14ac:dyDescent="0.25">
      <c r="A637">
        <v>308911</v>
      </c>
      <c r="B637" s="1">
        <v>44812</v>
      </c>
    </row>
    <row r="638" spans="1:2" x14ac:dyDescent="0.25">
      <c r="A638">
        <v>308915</v>
      </c>
      <c r="B638" s="1">
        <v>44725</v>
      </c>
    </row>
    <row r="639" spans="1:2" x14ac:dyDescent="0.25">
      <c r="A639">
        <v>308917</v>
      </c>
      <c r="B639" s="1">
        <v>44571</v>
      </c>
    </row>
    <row r="640" spans="1:2" x14ac:dyDescent="0.25">
      <c r="A640">
        <v>308918</v>
      </c>
      <c r="B640" s="1">
        <v>44821</v>
      </c>
    </row>
    <row r="641" spans="1:2" x14ac:dyDescent="0.25">
      <c r="A641">
        <v>308923</v>
      </c>
      <c r="B641" s="1">
        <v>44571</v>
      </c>
    </row>
    <row r="642" spans="1:2" x14ac:dyDescent="0.25">
      <c r="A642">
        <v>308927</v>
      </c>
      <c r="B642" s="1">
        <v>44773</v>
      </c>
    </row>
    <row r="643" spans="1:2" x14ac:dyDescent="0.25">
      <c r="A643">
        <v>308930</v>
      </c>
      <c r="B643" s="1">
        <v>44603</v>
      </c>
    </row>
    <row r="644" spans="1:2" x14ac:dyDescent="0.25">
      <c r="A644">
        <v>308931</v>
      </c>
      <c r="B644" s="1">
        <v>44640</v>
      </c>
    </row>
    <row r="645" spans="1:2" x14ac:dyDescent="0.25">
      <c r="A645">
        <v>308934</v>
      </c>
      <c r="B645" s="1">
        <v>44780</v>
      </c>
    </row>
    <row r="646" spans="1:2" x14ac:dyDescent="0.25">
      <c r="A646">
        <v>308935</v>
      </c>
      <c r="B646" s="1">
        <v>44671</v>
      </c>
    </row>
    <row r="647" spans="1:2" x14ac:dyDescent="0.25">
      <c r="A647">
        <v>308937</v>
      </c>
      <c r="B647" s="1">
        <v>44793</v>
      </c>
    </row>
    <row r="648" spans="1:2" x14ac:dyDescent="0.25">
      <c r="A648">
        <v>308942</v>
      </c>
      <c r="B648" s="1">
        <v>44628</v>
      </c>
    </row>
    <row r="649" spans="1:2" x14ac:dyDescent="0.25">
      <c r="A649">
        <v>308946</v>
      </c>
      <c r="B649" s="1">
        <v>44654</v>
      </c>
    </row>
    <row r="650" spans="1:2" x14ac:dyDescent="0.25">
      <c r="A650">
        <v>308948</v>
      </c>
      <c r="B650" s="1">
        <v>44842</v>
      </c>
    </row>
    <row r="651" spans="1:2" x14ac:dyDescent="0.25">
      <c r="A651">
        <v>308952</v>
      </c>
      <c r="B651" s="1">
        <v>44776</v>
      </c>
    </row>
    <row r="652" spans="1:2" x14ac:dyDescent="0.25">
      <c r="A652">
        <v>308954</v>
      </c>
      <c r="B652" s="1">
        <v>44854</v>
      </c>
    </row>
    <row r="653" spans="1:2" x14ac:dyDescent="0.25">
      <c r="A653">
        <v>308957</v>
      </c>
      <c r="B653" s="1">
        <v>44732</v>
      </c>
    </row>
    <row r="654" spans="1:2" x14ac:dyDescent="0.25">
      <c r="A654">
        <v>308960</v>
      </c>
      <c r="B654" s="1">
        <v>44667</v>
      </c>
    </row>
    <row r="655" spans="1:2" x14ac:dyDescent="0.25">
      <c r="A655">
        <v>308964</v>
      </c>
      <c r="B655" s="1">
        <v>44786</v>
      </c>
    </row>
    <row r="656" spans="1:2" x14ac:dyDescent="0.25">
      <c r="A656">
        <v>308969</v>
      </c>
      <c r="B656" s="1">
        <v>44845</v>
      </c>
    </row>
    <row r="657" spans="1:2" x14ac:dyDescent="0.25">
      <c r="A657">
        <v>308973</v>
      </c>
      <c r="B657" s="1">
        <v>44758</v>
      </c>
    </row>
    <row r="658" spans="1:2" x14ac:dyDescent="0.25">
      <c r="A658">
        <v>308978</v>
      </c>
      <c r="B658" s="1">
        <v>44742</v>
      </c>
    </row>
    <row r="659" spans="1:2" x14ac:dyDescent="0.25">
      <c r="A659">
        <v>308980</v>
      </c>
      <c r="B659" s="1">
        <v>44577</v>
      </c>
    </row>
    <row r="660" spans="1:2" x14ac:dyDescent="0.25">
      <c r="A660">
        <v>308981</v>
      </c>
      <c r="B660" s="1">
        <v>44652</v>
      </c>
    </row>
    <row r="661" spans="1:2" x14ac:dyDescent="0.25">
      <c r="A661">
        <v>308986</v>
      </c>
      <c r="B661" s="1">
        <v>44666</v>
      </c>
    </row>
    <row r="662" spans="1:2" x14ac:dyDescent="0.25">
      <c r="A662">
        <v>308989</v>
      </c>
      <c r="B662" s="1">
        <v>44683</v>
      </c>
    </row>
    <row r="663" spans="1:2" x14ac:dyDescent="0.25">
      <c r="A663">
        <v>308991</v>
      </c>
      <c r="B663" s="1">
        <v>44595</v>
      </c>
    </row>
    <row r="664" spans="1:2" x14ac:dyDescent="0.25">
      <c r="A664">
        <v>308994</v>
      </c>
      <c r="B664" s="1">
        <v>44821</v>
      </c>
    </row>
    <row r="665" spans="1:2" x14ac:dyDescent="0.25">
      <c r="A665">
        <v>308998</v>
      </c>
      <c r="B665" s="1">
        <v>44589</v>
      </c>
    </row>
    <row r="666" spans="1:2" x14ac:dyDescent="0.25">
      <c r="A666">
        <v>309000</v>
      </c>
      <c r="B666" s="1">
        <v>44702</v>
      </c>
    </row>
    <row r="667" spans="1:2" x14ac:dyDescent="0.25">
      <c r="A667">
        <v>309002</v>
      </c>
      <c r="B667" s="1">
        <v>44859</v>
      </c>
    </row>
    <row r="668" spans="1:2" x14ac:dyDescent="0.25">
      <c r="A668">
        <v>309004</v>
      </c>
      <c r="B668" s="1">
        <v>44802</v>
      </c>
    </row>
    <row r="669" spans="1:2" x14ac:dyDescent="0.25">
      <c r="A669">
        <v>309005</v>
      </c>
      <c r="B669" s="1">
        <v>44567</v>
      </c>
    </row>
    <row r="670" spans="1:2" x14ac:dyDescent="0.25">
      <c r="A670">
        <v>309008</v>
      </c>
      <c r="B670" s="1">
        <v>44689</v>
      </c>
    </row>
    <row r="671" spans="1:2" x14ac:dyDescent="0.25">
      <c r="A671">
        <v>309012</v>
      </c>
      <c r="B671" s="1">
        <v>44657</v>
      </c>
    </row>
    <row r="672" spans="1:2" x14ac:dyDescent="0.25">
      <c r="A672">
        <v>309013</v>
      </c>
      <c r="B672" s="1">
        <v>44820</v>
      </c>
    </row>
    <row r="673" spans="1:2" x14ac:dyDescent="0.25">
      <c r="A673">
        <v>309015</v>
      </c>
      <c r="B673" s="1">
        <v>44742</v>
      </c>
    </row>
    <row r="674" spans="1:2" x14ac:dyDescent="0.25">
      <c r="A674">
        <v>309018</v>
      </c>
      <c r="B674" s="1">
        <v>44596</v>
      </c>
    </row>
    <row r="675" spans="1:2" x14ac:dyDescent="0.25">
      <c r="A675">
        <v>309019</v>
      </c>
      <c r="B675" s="1">
        <v>44804</v>
      </c>
    </row>
    <row r="676" spans="1:2" x14ac:dyDescent="0.25">
      <c r="A676">
        <v>309020</v>
      </c>
      <c r="B676" s="1">
        <v>44838</v>
      </c>
    </row>
    <row r="677" spans="1:2" x14ac:dyDescent="0.25">
      <c r="A677">
        <v>309021</v>
      </c>
      <c r="B677" s="1">
        <v>44728</v>
      </c>
    </row>
    <row r="678" spans="1:2" x14ac:dyDescent="0.25">
      <c r="A678">
        <v>309023</v>
      </c>
      <c r="B678" s="1">
        <v>44730</v>
      </c>
    </row>
    <row r="679" spans="1:2" x14ac:dyDescent="0.25">
      <c r="A679">
        <v>309026</v>
      </c>
      <c r="B679" s="1">
        <v>44816</v>
      </c>
    </row>
    <row r="680" spans="1:2" x14ac:dyDescent="0.25">
      <c r="A680">
        <v>309031</v>
      </c>
      <c r="B680" s="1">
        <v>44737</v>
      </c>
    </row>
    <row r="681" spans="1:2" x14ac:dyDescent="0.25">
      <c r="A681">
        <v>309036</v>
      </c>
      <c r="B681" s="1">
        <v>44695</v>
      </c>
    </row>
    <row r="682" spans="1:2" x14ac:dyDescent="0.25">
      <c r="A682">
        <v>309041</v>
      </c>
      <c r="B682" s="1">
        <v>44795</v>
      </c>
    </row>
    <row r="683" spans="1:2" x14ac:dyDescent="0.25">
      <c r="A683">
        <v>309043</v>
      </c>
      <c r="B683" s="1">
        <v>44821</v>
      </c>
    </row>
    <row r="684" spans="1:2" x14ac:dyDescent="0.25">
      <c r="A684">
        <v>309048</v>
      </c>
      <c r="B684" s="1">
        <v>44622</v>
      </c>
    </row>
    <row r="685" spans="1:2" x14ac:dyDescent="0.25">
      <c r="A685">
        <v>309051</v>
      </c>
      <c r="B685" s="1">
        <v>44857</v>
      </c>
    </row>
    <row r="686" spans="1:2" x14ac:dyDescent="0.25">
      <c r="A686">
        <v>309053</v>
      </c>
      <c r="B686" s="1">
        <v>44704</v>
      </c>
    </row>
    <row r="687" spans="1:2" x14ac:dyDescent="0.25">
      <c r="A687">
        <v>309057</v>
      </c>
      <c r="B687" s="1">
        <v>44582</v>
      </c>
    </row>
    <row r="688" spans="1:2" x14ac:dyDescent="0.25">
      <c r="A688">
        <v>309062</v>
      </c>
      <c r="B688" s="1">
        <v>44810</v>
      </c>
    </row>
    <row r="689" spans="1:2" x14ac:dyDescent="0.25">
      <c r="A689">
        <v>309063</v>
      </c>
      <c r="B689" s="1">
        <v>44594</v>
      </c>
    </row>
    <row r="690" spans="1:2" x14ac:dyDescent="0.25">
      <c r="A690">
        <v>309065</v>
      </c>
      <c r="B690" s="1">
        <v>44632</v>
      </c>
    </row>
    <row r="691" spans="1:2" x14ac:dyDescent="0.25">
      <c r="A691">
        <v>309070</v>
      </c>
      <c r="B691" s="1">
        <v>44604</v>
      </c>
    </row>
    <row r="692" spans="1:2" x14ac:dyDescent="0.25">
      <c r="A692">
        <v>309071</v>
      </c>
      <c r="B692" s="1">
        <v>44749</v>
      </c>
    </row>
    <row r="693" spans="1:2" x14ac:dyDescent="0.25">
      <c r="A693">
        <v>309075</v>
      </c>
      <c r="B693" s="1">
        <v>44762</v>
      </c>
    </row>
    <row r="694" spans="1:2" x14ac:dyDescent="0.25">
      <c r="A694">
        <v>309078</v>
      </c>
      <c r="B694" s="1">
        <v>44601</v>
      </c>
    </row>
    <row r="695" spans="1:2" x14ac:dyDescent="0.25">
      <c r="A695">
        <v>309082</v>
      </c>
      <c r="B695" s="1">
        <v>44742</v>
      </c>
    </row>
    <row r="696" spans="1:2" x14ac:dyDescent="0.25">
      <c r="A696">
        <v>309086</v>
      </c>
      <c r="B696" s="1">
        <v>44687</v>
      </c>
    </row>
    <row r="697" spans="1:2" x14ac:dyDescent="0.25">
      <c r="A697">
        <v>309087</v>
      </c>
      <c r="B697" s="1">
        <v>44863</v>
      </c>
    </row>
    <row r="698" spans="1:2" x14ac:dyDescent="0.25">
      <c r="A698">
        <v>309089</v>
      </c>
      <c r="B698" s="1">
        <v>44612</v>
      </c>
    </row>
    <row r="699" spans="1:2" x14ac:dyDescent="0.25">
      <c r="A699">
        <v>309090</v>
      </c>
      <c r="B699" s="1">
        <v>44861</v>
      </c>
    </row>
    <row r="700" spans="1:2" x14ac:dyDescent="0.25">
      <c r="A700">
        <v>309091</v>
      </c>
      <c r="B700" s="1">
        <v>44686</v>
      </c>
    </row>
    <row r="701" spans="1:2" x14ac:dyDescent="0.25">
      <c r="A701">
        <v>309094</v>
      </c>
      <c r="B701" s="1">
        <v>44618</v>
      </c>
    </row>
    <row r="702" spans="1:2" x14ac:dyDescent="0.25">
      <c r="A702">
        <v>309095</v>
      </c>
      <c r="B702" s="1">
        <v>44767</v>
      </c>
    </row>
    <row r="703" spans="1:2" x14ac:dyDescent="0.25">
      <c r="A703">
        <v>309096</v>
      </c>
      <c r="B703" s="1">
        <v>44576</v>
      </c>
    </row>
    <row r="704" spans="1:2" x14ac:dyDescent="0.25">
      <c r="A704">
        <v>309100</v>
      </c>
      <c r="B704" s="1">
        <v>44796</v>
      </c>
    </row>
    <row r="705" spans="1:2" x14ac:dyDescent="0.25">
      <c r="A705">
        <v>309104</v>
      </c>
      <c r="B705" s="1">
        <v>44780</v>
      </c>
    </row>
    <row r="706" spans="1:2" x14ac:dyDescent="0.25">
      <c r="A706">
        <v>309107</v>
      </c>
      <c r="B706" s="1">
        <v>44702</v>
      </c>
    </row>
    <row r="707" spans="1:2" x14ac:dyDescent="0.25">
      <c r="A707">
        <v>309109</v>
      </c>
      <c r="B707" s="1">
        <v>44607</v>
      </c>
    </row>
    <row r="708" spans="1:2" x14ac:dyDescent="0.25">
      <c r="A708">
        <v>309110</v>
      </c>
      <c r="B708" s="1">
        <v>44630</v>
      </c>
    </row>
    <row r="709" spans="1:2" x14ac:dyDescent="0.25">
      <c r="A709">
        <v>309113</v>
      </c>
      <c r="B709" s="1">
        <v>44734</v>
      </c>
    </row>
    <row r="710" spans="1:2" x14ac:dyDescent="0.25">
      <c r="A710">
        <v>309114</v>
      </c>
      <c r="B710" s="1">
        <v>44570</v>
      </c>
    </row>
    <row r="711" spans="1:2" x14ac:dyDescent="0.25">
      <c r="A711">
        <v>309115</v>
      </c>
      <c r="B711" s="1">
        <v>44837</v>
      </c>
    </row>
    <row r="712" spans="1:2" x14ac:dyDescent="0.25">
      <c r="A712">
        <v>309117</v>
      </c>
      <c r="B712" s="1">
        <v>44637</v>
      </c>
    </row>
    <row r="713" spans="1:2" x14ac:dyDescent="0.25">
      <c r="A713">
        <v>309118</v>
      </c>
      <c r="B713" s="1">
        <v>44840</v>
      </c>
    </row>
    <row r="714" spans="1:2" x14ac:dyDescent="0.25">
      <c r="A714">
        <v>309120</v>
      </c>
      <c r="B714" s="1">
        <v>44658</v>
      </c>
    </row>
    <row r="715" spans="1:2" x14ac:dyDescent="0.25">
      <c r="A715">
        <v>307001</v>
      </c>
      <c r="B715" s="1">
        <v>44863</v>
      </c>
    </row>
    <row r="716" spans="1:2" x14ac:dyDescent="0.25">
      <c r="A716">
        <v>307002</v>
      </c>
      <c r="B716" s="1">
        <v>44875</v>
      </c>
    </row>
    <row r="717" spans="1:2" x14ac:dyDescent="0.25">
      <c r="A717">
        <v>307013</v>
      </c>
      <c r="B717" s="1">
        <v>44598</v>
      </c>
    </row>
    <row r="718" spans="1:2" x14ac:dyDescent="0.25">
      <c r="A718">
        <v>307014</v>
      </c>
      <c r="B718" s="1">
        <v>44638</v>
      </c>
    </row>
    <row r="719" spans="1:2" x14ac:dyDescent="0.25">
      <c r="A719">
        <v>307019</v>
      </c>
      <c r="B719" s="1">
        <v>44772</v>
      </c>
    </row>
    <row r="720" spans="1:2" x14ac:dyDescent="0.25">
      <c r="A720">
        <v>307022</v>
      </c>
      <c r="B720" s="1">
        <v>44713</v>
      </c>
    </row>
    <row r="721" spans="1:2" x14ac:dyDescent="0.25">
      <c r="A721">
        <v>307030</v>
      </c>
      <c r="B721" s="1">
        <v>44639</v>
      </c>
    </row>
    <row r="722" spans="1:2" x14ac:dyDescent="0.25">
      <c r="A722">
        <v>307031</v>
      </c>
      <c r="B722" s="1">
        <v>44889</v>
      </c>
    </row>
    <row r="723" spans="1:2" x14ac:dyDescent="0.25">
      <c r="A723">
        <v>307033</v>
      </c>
      <c r="B723" s="1">
        <v>44705</v>
      </c>
    </row>
    <row r="724" spans="1:2" x14ac:dyDescent="0.25">
      <c r="A724">
        <v>307040</v>
      </c>
      <c r="B724" s="1">
        <v>44822</v>
      </c>
    </row>
    <row r="725" spans="1:2" x14ac:dyDescent="0.25">
      <c r="A725">
        <v>307044</v>
      </c>
      <c r="B725" s="1">
        <v>44809</v>
      </c>
    </row>
    <row r="726" spans="1:2" x14ac:dyDescent="0.25">
      <c r="A726">
        <v>307050</v>
      </c>
      <c r="B726" s="1">
        <v>44597</v>
      </c>
    </row>
    <row r="727" spans="1:2" x14ac:dyDescent="0.25">
      <c r="A727">
        <v>307053</v>
      </c>
      <c r="B727" s="1">
        <v>44870</v>
      </c>
    </row>
    <row r="728" spans="1:2" x14ac:dyDescent="0.25">
      <c r="A728">
        <v>307060</v>
      </c>
      <c r="B728" s="1">
        <v>44798</v>
      </c>
    </row>
    <row r="729" spans="1:2" x14ac:dyDescent="0.25">
      <c r="A729">
        <v>307071</v>
      </c>
      <c r="B729" s="1">
        <v>44718</v>
      </c>
    </row>
    <row r="730" spans="1:2" x14ac:dyDescent="0.25">
      <c r="A730">
        <v>307079</v>
      </c>
      <c r="B730" s="1">
        <v>44729</v>
      </c>
    </row>
    <row r="731" spans="1:2" x14ac:dyDescent="0.25">
      <c r="A731">
        <v>307081</v>
      </c>
      <c r="B731" s="1">
        <v>44820</v>
      </c>
    </row>
    <row r="732" spans="1:2" x14ac:dyDescent="0.25">
      <c r="A732">
        <v>307083</v>
      </c>
      <c r="B732" s="1">
        <v>44735</v>
      </c>
    </row>
    <row r="733" spans="1:2" x14ac:dyDescent="0.25">
      <c r="A733">
        <v>307086</v>
      </c>
      <c r="B733" s="1">
        <v>44854</v>
      </c>
    </row>
    <row r="734" spans="1:2" x14ac:dyDescent="0.25">
      <c r="A734">
        <v>307091</v>
      </c>
      <c r="B734" s="1">
        <v>44818</v>
      </c>
    </row>
    <row r="735" spans="1:2" x14ac:dyDescent="0.25">
      <c r="A735">
        <v>307092</v>
      </c>
      <c r="B735" s="1">
        <v>44763</v>
      </c>
    </row>
    <row r="736" spans="1:2" x14ac:dyDescent="0.25">
      <c r="A736">
        <v>307094</v>
      </c>
      <c r="B736" s="1">
        <v>44646</v>
      </c>
    </row>
    <row r="737" spans="1:2" x14ac:dyDescent="0.25">
      <c r="A737">
        <v>307095</v>
      </c>
      <c r="B737" s="1">
        <v>44790</v>
      </c>
    </row>
    <row r="738" spans="1:2" x14ac:dyDescent="0.25">
      <c r="A738">
        <v>307101</v>
      </c>
      <c r="B738" s="1">
        <v>44745</v>
      </c>
    </row>
    <row r="739" spans="1:2" x14ac:dyDescent="0.25">
      <c r="A739">
        <v>307111</v>
      </c>
      <c r="B739" s="1">
        <v>44699</v>
      </c>
    </row>
    <row r="740" spans="1:2" x14ac:dyDescent="0.25">
      <c r="A740">
        <v>307116</v>
      </c>
      <c r="B740" s="1">
        <v>44741</v>
      </c>
    </row>
    <row r="741" spans="1:2" x14ac:dyDescent="0.25">
      <c r="A741">
        <v>307124</v>
      </c>
      <c r="B741" s="1">
        <v>44644</v>
      </c>
    </row>
    <row r="742" spans="1:2" x14ac:dyDescent="0.25">
      <c r="A742">
        <v>307128</v>
      </c>
      <c r="B742" s="1">
        <v>44661</v>
      </c>
    </row>
    <row r="743" spans="1:2" x14ac:dyDescent="0.25">
      <c r="A743">
        <v>307131</v>
      </c>
      <c r="B743" s="1">
        <v>44832</v>
      </c>
    </row>
    <row r="744" spans="1:2" x14ac:dyDescent="0.25">
      <c r="A744">
        <v>307138</v>
      </c>
      <c r="B744" s="1">
        <v>44879</v>
      </c>
    </row>
    <row r="745" spans="1:2" x14ac:dyDescent="0.25">
      <c r="A745">
        <v>307143</v>
      </c>
      <c r="B745" s="1">
        <v>44835</v>
      </c>
    </row>
    <row r="746" spans="1:2" x14ac:dyDescent="0.25">
      <c r="A746">
        <v>307145</v>
      </c>
      <c r="B746" s="1">
        <v>44733</v>
      </c>
    </row>
    <row r="747" spans="1:2" x14ac:dyDescent="0.25">
      <c r="A747">
        <v>307149</v>
      </c>
      <c r="B747" s="1">
        <v>44781</v>
      </c>
    </row>
    <row r="748" spans="1:2" x14ac:dyDescent="0.25">
      <c r="A748">
        <v>307153</v>
      </c>
      <c r="B748" s="1">
        <v>44657</v>
      </c>
    </row>
    <row r="749" spans="1:2" x14ac:dyDescent="0.25">
      <c r="A749">
        <v>307154</v>
      </c>
      <c r="B749" s="1">
        <v>44777</v>
      </c>
    </row>
    <row r="750" spans="1:2" x14ac:dyDescent="0.25">
      <c r="A750">
        <v>307159</v>
      </c>
      <c r="B750" s="1">
        <v>44597</v>
      </c>
    </row>
    <row r="751" spans="1:2" x14ac:dyDescent="0.25">
      <c r="A751">
        <v>307161</v>
      </c>
      <c r="B751" s="1">
        <v>44661</v>
      </c>
    </row>
    <row r="752" spans="1:2" x14ac:dyDescent="0.25">
      <c r="A752">
        <v>307166</v>
      </c>
      <c r="B752" s="1">
        <v>44819</v>
      </c>
    </row>
    <row r="753" spans="1:2" x14ac:dyDescent="0.25">
      <c r="A753">
        <v>307169</v>
      </c>
      <c r="B753" s="1">
        <v>44609</v>
      </c>
    </row>
    <row r="754" spans="1:2" x14ac:dyDescent="0.25">
      <c r="A754">
        <v>307172</v>
      </c>
      <c r="B754" s="1">
        <v>44874</v>
      </c>
    </row>
    <row r="755" spans="1:2" x14ac:dyDescent="0.25">
      <c r="A755">
        <v>307176</v>
      </c>
      <c r="B755" s="1">
        <v>44800</v>
      </c>
    </row>
    <row r="756" spans="1:2" x14ac:dyDescent="0.25">
      <c r="A756">
        <v>307178</v>
      </c>
      <c r="B756" s="1">
        <v>44835</v>
      </c>
    </row>
    <row r="757" spans="1:2" x14ac:dyDescent="0.25">
      <c r="A757">
        <v>307183</v>
      </c>
      <c r="B757" s="1">
        <v>44608</v>
      </c>
    </row>
    <row r="758" spans="1:2" x14ac:dyDescent="0.25">
      <c r="A758">
        <v>307186</v>
      </c>
      <c r="B758" s="1">
        <v>44610</v>
      </c>
    </row>
    <row r="759" spans="1:2" x14ac:dyDescent="0.25">
      <c r="A759">
        <v>307190</v>
      </c>
      <c r="B759" s="1">
        <v>44613</v>
      </c>
    </row>
    <row r="760" spans="1:2" x14ac:dyDescent="0.25">
      <c r="A760">
        <v>307192</v>
      </c>
      <c r="B760" s="1">
        <v>44624</v>
      </c>
    </row>
    <row r="761" spans="1:2" x14ac:dyDescent="0.25">
      <c r="A761">
        <v>307200</v>
      </c>
      <c r="B761" s="1">
        <v>44654</v>
      </c>
    </row>
    <row r="762" spans="1:2" x14ac:dyDescent="0.25">
      <c r="A762">
        <v>307207</v>
      </c>
      <c r="B762" s="1">
        <v>44829</v>
      </c>
    </row>
    <row r="763" spans="1:2" x14ac:dyDescent="0.25">
      <c r="A763">
        <v>307216</v>
      </c>
      <c r="B763" s="1">
        <v>44599</v>
      </c>
    </row>
    <row r="764" spans="1:2" x14ac:dyDescent="0.25">
      <c r="A764">
        <v>307217</v>
      </c>
      <c r="B764" s="1">
        <v>44631</v>
      </c>
    </row>
    <row r="765" spans="1:2" x14ac:dyDescent="0.25">
      <c r="A765">
        <v>307219</v>
      </c>
      <c r="B765" s="1">
        <v>44778</v>
      </c>
    </row>
    <row r="766" spans="1:2" x14ac:dyDescent="0.25">
      <c r="A766">
        <v>307226</v>
      </c>
      <c r="B766" s="1">
        <v>44738</v>
      </c>
    </row>
    <row r="767" spans="1:2" x14ac:dyDescent="0.25">
      <c r="A767">
        <v>307227</v>
      </c>
      <c r="B767" s="1">
        <v>44634</v>
      </c>
    </row>
    <row r="768" spans="1:2" x14ac:dyDescent="0.25">
      <c r="A768">
        <v>307231</v>
      </c>
      <c r="B768" s="1">
        <v>44690</v>
      </c>
    </row>
    <row r="769" spans="1:2" x14ac:dyDescent="0.25">
      <c r="A769">
        <v>307237</v>
      </c>
      <c r="B769" s="1">
        <v>44675</v>
      </c>
    </row>
    <row r="770" spans="1:2" x14ac:dyDescent="0.25">
      <c r="A770">
        <v>307239</v>
      </c>
      <c r="B770" s="1">
        <v>44609</v>
      </c>
    </row>
    <row r="771" spans="1:2" x14ac:dyDescent="0.25">
      <c r="A771">
        <v>307241</v>
      </c>
      <c r="B771" s="1">
        <v>44863</v>
      </c>
    </row>
    <row r="772" spans="1:2" x14ac:dyDescent="0.25">
      <c r="A772">
        <v>307245</v>
      </c>
      <c r="B772" s="1">
        <v>44697</v>
      </c>
    </row>
    <row r="773" spans="1:2" x14ac:dyDescent="0.25">
      <c r="A773">
        <v>307252</v>
      </c>
      <c r="B773" s="1">
        <v>44610</v>
      </c>
    </row>
    <row r="774" spans="1:2" x14ac:dyDescent="0.25">
      <c r="A774">
        <v>307257</v>
      </c>
      <c r="B774" s="1">
        <v>44848</v>
      </c>
    </row>
    <row r="775" spans="1:2" x14ac:dyDescent="0.25">
      <c r="A775">
        <v>307260</v>
      </c>
      <c r="B775" s="1">
        <v>44670</v>
      </c>
    </row>
    <row r="776" spans="1:2" x14ac:dyDescent="0.25">
      <c r="A776">
        <v>307261</v>
      </c>
      <c r="B776" s="1">
        <v>44690</v>
      </c>
    </row>
    <row r="777" spans="1:2" x14ac:dyDescent="0.25">
      <c r="A777">
        <v>307266</v>
      </c>
      <c r="B777" s="1">
        <v>44743</v>
      </c>
    </row>
    <row r="778" spans="1:2" x14ac:dyDescent="0.25">
      <c r="A778">
        <v>307271</v>
      </c>
      <c r="B778" s="1">
        <v>44879</v>
      </c>
    </row>
    <row r="779" spans="1:2" x14ac:dyDescent="0.25">
      <c r="A779">
        <v>307276</v>
      </c>
      <c r="B779" s="1">
        <v>44766</v>
      </c>
    </row>
    <row r="780" spans="1:2" x14ac:dyDescent="0.25">
      <c r="A780">
        <v>307281</v>
      </c>
      <c r="B780" s="1">
        <v>44774</v>
      </c>
    </row>
    <row r="781" spans="1:2" x14ac:dyDescent="0.25">
      <c r="A781">
        <v>307284</v>
      </c>
      <c r="B781" s="1">
        <v>44766</v>
      </c>
    </row>
    <row r="782" spans="1:2" x14ac:dyDescent="0.25">
      <c r="A782">
        <v>307288</v>
      </c>
      <c r="B782" s="1">
        <v>44843</v>
      </c>
    </row>
    <row r="783" spans="1:2" x14ac:dyDescent="0.25">
      <c r="A783">
        <v>307289</v>
      </c>
      <c r="B783" s="1">
        <v>44817</v>
      </c>
    </row>
    <row r="784" spans="1:2" x14ac:dyDescent="0.25">
      <c r="A784">
        <v>307291</v>
      </c>
      <c r="B784" s="1">
        <v>44756</v>
      </c>
    </row>
    <row r="785" spans="1:2" x14ac:dyDescent="0.25">
      <c r="A785">
        <v>307295</v>
      </c>
      <c r="B785" s="1">
        <v>44819</v>
      </c>
    </row>
    <row r="786" spans="1:2" x14ac:dyDescent="0.25">
      <c r="A786">
        <v>307299</v>
      </c>
      <c r="B786" s="1">
        <v>44748</v>
      </c>
    </row>
    <row r="787" spans="1:2" x14ac:dyDescent="0.25">
      <c r="A787">
        <v>307304</v>
      </c>
      <c r="B787" s="1">
        <v>44826</v>
      </c>
    </row>
    <row r="788" spans="1:2" x14ac:dyDescent="0.25">
      <c r="A788">
        <v>307305</v>
      </c>
      <c r="B788" s="1">
        <v>44693</v>
      </c>
    </row>
    <row r="789" spans="1:2" x14ac:dyDescent="0.25">
      <c r="A789">
        <v>307308</v>
      </c>
      <c r="B789" s="1">
        <v>44658</v>
      </c>
    </row>
    <row r="790" spans="1:2" x14ac:dyDescent="0.25">
      <c r="A790">
        <v>307309</v>
      </c>
      <c r="B790" s="1">
        <v>44838</v>
      </c>
    </row>
    <row r="791" spans="1:2" x14ac:dyDescent="0.25">
      <c r="A791">
        <v>307313</v>
      </c>
      <c r="B791" s="1">
        <v>44748</v>
      </c>
    </row>
    <row r="792" spans="1:2" x14ac:dyDescent="0.25">
      <c r="A792">
        <v>307316</v>
      </c>
      <c r="B792" s="1">
        <v>44876</v>
      </c>
    </row>
    <row r="793" spans="1:2" x14ac:dyDescent="0.25">
      <c r="A793">
        <v>307320</v>
      </c>
      <c r="B793" s="1">
        <v>44860</v>
      </c>
    </row>
    <row r="794" spans="1:2" x14ac:dyDescent="0.25">
      <c r="A794">
        <v>307323</v>
      </c>
      <c r="B794" s="1">
        <v>44829</v>
      </c>
    </row>
    <row r="795" spans="1:2" x14ac:dyDescent="0.25">
      <c r="A795">
        <v>307328</v>
      </c>
      <c r="B795" s="1">
        <v>44729</v>
      </c>
    </row>
    <row r="796" spans="1:2" x14ac:dyDescent="0.25">
      <c r="A796">
        <v>307331</v>
      </c>
      <c r="B796" s="1">
        <v>44793</v>
      </c>
    </row>
    <row r="797" spans="1:2" x14ac:dyDescent="0.25">
      <c r="A797">
        <v>307336</v>
      </c>
      <c r="B797" s="1">
        <v>44601</v>
      </c>
    </row>
    <row r="798" spans="1:2" x14ac:dyDescent="0.25">
      <c r="A798">
        <v>307356</v>
      </c>
      <c r="B798" s="1">
        <v>44663</v>
      </c>
    </row>
    <row r="799" spans="1:2" x14ac:dyDescent="0.25">
      <c r="A799">
        <v>307357</v>
      </c>
      <c r="B799" s="1">
        <v>44645</v>
      </c>
    </row>
    <row r="800" spans="1:2" x14ac:dyDescent="0.25">
      <c r="A800">
        <v>307363</v>
      </c>
      <c r="B800" s="1">
        <v>44772</v>
      </c>
    </row>
    <row r="801" spans="1:2" x14ac:dyDescent="0.25">
      <c r="A801">
        <v>307365</v>
      </c>
      <c r="B801" s="1">
        <v>44775</v>
      </c>
    </row>
    <row r="802" spans="1:2" x14ac:dyDescent="0.25">
      <c r="A802">
        <v>307370</v>
      </c>
      <c r="B802" s="1">
        <v>44683</v>
      </c>
    </row>
    <row r="803" spans="1:2" x14ac:dyDescent="0.25">
      <c r="A803">
        <v>307378</v>
      </c>
      <c r="B803" s="1">
        <v>44666</v>
      </c>
    </row>
    <row r="804" spans="1:2" x14ac:dyDescent="0.25">
      <c r="A804">
        <v>307381</v>
      </c>
      <c r="B804" s="1">
        <v>44640</v>
      </c>
    </row>
    <row r="805" spans="1:2" x14ac:dyDescent="0.25">
      <c r="A805">
        <v>307385</v>
      </c>
      <c r="B805" s="1">
        <v>44895</v>
      </c>
    </row>
    <row r="806" spans="1:2" x14ac:dyDescent="0.25">
      <c r="A806">
        <v>307390</v>
      </c>
      <c r="B806" s="1">
        <v>44888</v>
      </c>
    </row>
    <row r="807" spans="1:2" x14ac:dyDescent="0.25">
      <c r="A807">
        <v>307403</v>
      </c>
      <c r="B807" s="1">
        <v>44715</v>
      </c>
    </row>
    <row r="808" spans="1:2" x14ac:dyDescent="0.25">
      <c r="A808">
        <v>307407</v>
      </c>
      <c r="B808" s="1">
        <v>44687</v>
      </c>
    </row>
    <row r="809" spans="1:2" x14ac:dyDescent="0.25">
      <c r="A809">
        <v>307412</v>
      </c>
      <c r="B809" s="1">
        <v>44872</v>
      </c>
    </row>
    <row r="810" spans="1:2" x14ac:dyDescent="0.25">
      <c r="A810">
        <v>307417</v>
      </c>
      <c r="B810" s="1">
        <v>44644</v>
      </c>
    </row>
    <row r="811" spans="1:2" x14ac:dyDescent="0.25">
      <c r="A811">
        <v>307418</v>
      </c>
      <c r="B811" s="1">
        <v>44720</v>
      </c>
    </row>
    <row r="812" spans="1:2" x14ac:dyDescent="0.25">
      <c r="A812">
        <v>307421</v>
      </c>
      <c r="B812" s="1">
        <v>44719</v>
      </c>
    </row>
    <row r="813" spans="1:2" x14ac:dyDescent="0.25">
      <c r="A813">
        <v>307440</v>
      </c>
      <c r="B813" s="1">
        <v>44744</v>
      </c>
    </row>
    <row r="814" spans="1:2" x14ac:dyDescent="0.25">
      <c r="A814">
        <v>307444</v>
      </c>
      <c r="B814" s="1">
        <v>44654</v>
      </c>
    </row>
    <row r="815" spans="1:2" x14ac:dyDescent="0.25">
      <c r="A815">
        <v>307449</v>
      </c>
      <c r="B815" s="1">
        <v>44624</v>
      </c>
    </row>
    <row r="816" spans="1:2" x14ac:dyDescent="0.25">
      <c r="A816">
        <v>307459</v>
      </c>
      <c r="B816" s="1">
        <v>44725</v>
      </c>
    </row>
    <row r="817" spans="1:2" x14ac:dyDescent="0.25">
      <c r="A817">
        <v>307463</v>
      </c>
      <c r="B817" s="1">
        <v>44679</v>
      </c>
    </row>
    <row r="818" spans="1:2" x14ac:dyDescent="0.25">
      <c r="A818">
        <v>307467</v>
      </c>
      <c r="B818" s="1">
        <v>44623</v>
      </c>
    </row>
    <row r="819" spans="1:2" x14ac:dyDescent="0.25">
      <c r="A819">
        <v>307472</v>
      </c>
      <c r="B819" s="1">
        <v>44790</v>
      </c>
    </row>
    <row r="820" spans="1:2" x14ac:dyDescent="0.25">
      <c r="A820">
        <v>307476</v>
      </c>
      <c r="B820" s="1">
        <v>44769</v>
      </c>
    </row>
    <row r="821" spans="1:2" x14ac:dyDescent="0.25">
      <c r="A821">
        <v>307479</v>
      </c>
      <c r="B821" s="1">
        <v>44775</v>
      </c>
    </row>
    <row r="822" spans="1:2" x14ac:dyDescent="0.25">
      <c r="A822">
        <v>307482</v>
      </c>
      <c r="B822" s="1">
        <v>44882</v>
      </c>
    </row>
    <row r="823" spans="1:2" x14ac:dyDescent="0.25">
      <c r="A823">
        <v>307483</v>
      </c>
      <c r="B823" s="1">
        <v>44782</v>
      </c>
    </row>
    <row r="824" spans="1:2" x14ac:dyDescent="0.25">
      <c r="A824">
        <v>307486</v>
      </c>
      <c r="B824" s="1">
        <v>44874</v>
      </c>
    </row>
    <row r="825" spans="1:2" x14ac:dyDescent="0.25">
      <c r="A825">
        <v>307491</v>
      </c>
      <c r="B825" s="1">
        <v>44751</v>
      </c>
    </row>
    <row r="826" spans="1:2" x14ac:dyDescent="0.25">
      <c r="A826">
        <v>307498</v>
      </c>
      <c r="B826" s="1">
        <v>44618</v>
      </c>
    </row>
    <row r="827" spans="1:2" x14ac:dyDescent="0.25">
      <c r="A827">
        <v>307505</v>
      </c>
      <c r="B827" s="1">
        <v>44616</v>
      </c>
    </row>
    <row r="828" spans="1:2" x14ac:dyDescent="0.25">
      <c r="A828">
        <v>307513</v>
      </c>
      <c r="B828" s="1">
        <v>44864</v>
      </c>
    </row>
    <row r="829" spans="1:2" x14ac:dyDescent="0.25">
      <c r="A829">
        <v>307517</v>
      </c>
      <c r="B829" s="1">
        <v>44818</v>
      </c>
    </row>
    <row r="830" spans="1:2" x14ac:dyDescent="0.25">
      <c r="A830">
        <v>307523</v>
      </c>
      <c r="B830" s="1">
        <v>44800</v>
      </c>
    </row>
    <row r="831" spans="1:2" x14ac:dyDescent="0.25">
      <c r="A831">
        <v>307525</v>
      </c>
      <c r="B831" s="1">
        <v>44870</v>
      </c>
    </row>
    <row r="832" spans="1:2" x14ac:dyDescent="0.25">
      <c r="A832">
        <v>307526</v>
      </c>
      <c r="B832" s="1">
        <v>44816</v>
      </c>
    </row>
    <row r="833" spans="1:2" x14ac:dyDescent="0.25">
      <c r="A833">
        <v>307527</v>
      </c>
      <c r="B833" s="1">
        <v>44703</v>
      </c>
    </row>
    <row r="834" spans="1:2" x14ac:dyDescent="0.25">
      <c r="A834">
        <v>307529</v>
      </c>
      <c r="B834" s="1">
        <v>44858</v>
      </c>
    </row>
    <row r="835" spans="1:2" x14ac:dyDescent="0.25">
      <c r="A835">
        <v>307531</v>
      </c>
      <c r="B835" s="1">
        <v>44820</v>
      </c>
    </row>
    <row r="836" spans="1:2" x14ac:dyDescent="0.25">
      <c r="A836">
        <v>307532</v>
      </c>
      <c r="B836" s="1">
        <v>44668</v>
      </c>
    </row>
    <row r="837" spans="1:2" x14ac:dyDescent="0.25">
      <c r="A837">
        <v>307534</v>
      </c>
      <c r="B837" s="1">
        <v>44851</v>
      </c>
    </row>
    <row r="838" spans="1:2" x14ac:dyDescent="0.25">
      <c r="A838">
        <v>307537</v>
      </c>
      <c r="B838" s="1">
        <v>44697</v>
      </c>
    </row>
    <row r="839" spans="1:2" x14ac:dyDescent="0.25">
      <c r="A839">
        <v>307540</v>
      </c>
      <c r="B839" s="1">
        <v>44836</v>
      </c>
    </row>
    <row r="840" spans="1:2" x14ac:dyDescent="0.25">
      <c r="A840">
        <v>307545</v>
      </c>
      <c r="B840" s="1">
        <v>44826</v>
      </c>
    </row>
    <row r="841" spans="1:2" x14ac:dyDescent="0.25">
      <c r="A841">
        <v>307550</v>
      </c>
      <c r="B841" s="1">
        <v>44617</v>
      </c>
    </row>
    <row r="842" spans="1:2" x14ac:dyDescent="0.25">
      <c r="A842">
        <v>307555</v>
      </c>
      <c r="B842" s="1">
        <v>44622</v>
      </c>
    </row>
    <row r="843" spans="1:2" x14ac:dyDescent="0.25">
      <c r="A843">
        <v>307561</v>
      </c>
      <c r="B843" s="1">
        <v>44645</v>
      </c>
    </row>
    <row r="844" spans="1:2" x14ac:dyDescent="0.25">
      <c r="A844">
        <v>307562</v>
      </c>
      <c r="B844" s="1">
        <v>44817</v>
      </c>
    </row>
    <row r="845" spans="1:2" x14ac:dyDescent="0.25">
      <c r="A845">
        <v>307563</v>
      </c>
      <c r="B845" s="1">
        <v>44609</v>
      </c>
    </row>
    <row r="846" spans="1:2" x14ac:dyDescent="0.25">
      <c r="A846">
        <v>307568</v>
      </c>
      <c r="B846" s="1">
        <v>44833</v>
      </c>
    </row>
    <row r="847" spans="1:2" x14ac:dyDescent="0.25">
      <c r="A847">
        <v>307578</v>
      </c>
      <c r="B847" s="1">
        <v>44808</v>
      </c>
    </row>
    <row r="848" spans="1:2" x14ac:dyDescent="0.25">
      <c r="A848">
        <v>307581</v>
      </c>
      <c r="B848" s="1">
        <v>44654</v>
      </c>
    </row>
    <row r="849" spans="1:2" x14ac:dyDescent="0.25">
      <c r="A849">
        <v>307582</v>
      </c>
      <c r="B849" s="1">
        <v>44743</v>
      </c>
    </row>
    <row r="850" spans="1:2" x14ac:dyDescent="0.25">
      <c r="A850">
        <v>307587</v>
      </c>
      <c r="B850" s="1">
        <v>44608</v>
      </c>
    </row>
    <row r="851" spans="1:2" x14ac:dyDescent="0.25">
      <c r="A851">
        <v>307596</v>
      </c>
      <c r="B851" s="1">
        <v>44759</v>
      </c>
    </row>
    <row r="852" spans="1:2" x14ac:dyDescent="0.25">
      <c r="A852">
        <v>307600</v>
      </c>
      <c r="B852" s="1">
        <v>44892</v>
      </c>
    </row>
    <row r="853" spans="1:2" x14ac:dyDescent="0.25">
      <c r="A853">
        <v>307601</v>
      </c>
      <c r="B853" s="1">
        <v>44793</v>
      </c>
    </row>
    <row r="854" spans="1:2" x14ac:dyDescent="0.25">
      <c r="A854">
        <v>307611</v>
      </c>
      <c r="B854" s="1">
        <v>44842</v>
      </c>
    </row>
    <row r="855" spans="1:2" x14ac:dyDescent="0.25">
      <c r="A855">
        <v>307613</v>
      </c>
      <c r="B855" s="1">
        <v>44645</v>
      </c>
    </row>
    <row r="856" spans="1:2" x14ac:dyDescent="0.25">
      <c r="A856">
        <v>307614</v>
      </c>
      <c r="B856" s="1">
        <v>44813</v>
      </c>
    </row>
    <row r="857" spans="1:2" x14ac:dyDescent="0.25">
      <c r="A857">
        <v>307619</v>
      </c>
      <c r="B857" s="1">
        <v>44747</v>
      </c>
    </row>
    <row r="858" spans="1:2" x14ac:dyDescent="0.25">
      <c r="A858">
        <v>307621</v>
      </c>
      <c r="B858" s="1">
        <v>44719</v>
      </c>
    </row>
    <row r="859" spans="1:2" x14ac:dyDescent="0.25">
      <c r="A859">
        <v>307626</v>
      </c>
      <c r="B859" s="1">
        <v>44800</v>
      </c>
    </row>
    <row r="860" spans="1:2" x14ac:dyDescent="0.25">
      <c r="A860">
        <v>307633</v>
      </c>
      <c r="B860" s="1">
        <v>44629</v>
      </c>
    </row>
    <row r="861" spans="1:2" x14ac:dyDescent="0.25">
      <c r="A861">
        <v>307650</v>
      </c>
      <c r="B861" s="1">
        <v>44835</v>
      </c>
    </row>
    <row r="862" spans="1:2" x14ac:dyDescent="0.25">
      <c r="A862">
        <v>307657</v>
      </c>
      <c r="B862" s="1">
        <v>44710</v>
      </c>
    </row>
    <row r="863" spans="1:2" x14ac:dyDescent="0.25">
      <c r="A863">
        <v>307664</v>
      </c>
      <c r="B863" s="1">
        <v>44753</v>
      </c>
    </row>
    <row r="864" spans="1:2" x14ac:dyDescent="0.25">
      <c r="A864">
        <v>307669</v>
      </c>
      <c r="B864" s="1">
        <v>44772</v>
      </c>
    </row>
    <row r="865" spans="1:2" x14ac:dyDescent="0.25">
      <c r="A865">
        <v>307679</v>
      </c>
      <c r="B865" s="1">
        <v>44872</v>
      </c>
    </row>
    <row r="866" spans="1:2" x14ac:dyDescent="0.25">
      <c r="A866">
        <v>307683</v>
      </c>
      <c r="B866" s="1">
        <v>44785</v>
      </c>
    </row>
    <row r="867" spans="1:2" x14ac:dyDescent="0.25">
      <c r="A867">
        <v>307696</v>
      </c>
      <c r="B867" s="1">
        <v>44673</v>
      </c>
    </row>
    <row r="868" spans="1:2" x14ac:dyDescent="0.25">
      <c r="A868">
        <v>307703</v>
      </c>
      <c r="B868" s="1">
        <v>44840</v>
      </c>
    </row>
    <row r="869" spans="1:2" x14ac:dyDescent="0.25">
      <c r="A869">
        <v>307712</v>
      </c>
      <c r="B869" s="1">
        <v>44858</v>
      </c>
    </row>
    <row r="870" spans="1:2" x14ac:dyDescent="0.25">
      <c r="A870">
        <v>307714</v>
      </c>
      <c r="B870" s="1">
        <v>44838</v>
      </c>
    </row>
    <row r="871" spans="1:2" x14ac:dyDescent="0.25">
      <c r="A871">
        <v>307719</v>
      </c>
      <c r="B871" s="1">
        <v>44705</v>
      </c>
    </row>
    <row r="872" spans="1:2" x14ac:dyDescent="0.25">
      <c r="A872">
        <v>307721</v>
      </c>
      <c r="B872" s="1">
        <v>44604</v>
      </c>
    </row>
    <row r="873" spans="1:2" x14ac:dyDescent="0.25">
      <c r="A873">
        <v>307723</v>
      </c>
      <c r="B873" s="1">
        <v>44678</v>
      </c>
    </row>
    <row r="874" spans="1:2" x14ac:dyDescent="0.25">
      <c r="A874">
        <v>307724</v>
      </c>
      <c r="B874" s="1">
        <v>44788</v>
      </c>
    </row>
    <row r="875" spans="1:2" x14ac:dyDescent="0.25">
      <c r="A875">
        <v>307728</v>
      </c>
      <c r="B875" s="1">
        <v>44631</v>
      </c>
    </row>
    <row r="876" spans="1:2" x14ac:dyDescent="0.25">
      <c r="A876">
        <v>307732</v>
      </c>
      <c r="B876" s="1">
        <v>44793</v>
      </c>
    </row>
    <row r="877" spans="1:2" x14ac:dyDescent="0.25">
      <c r="A877">
        <v>307737</v>
      </c>
      <c r="B877" s="1">
        <v>44839</v>
      </c>
    </row>
    <row r="878" spans="1:2" x14ac:dyDescent="0.25">
      <c r="A878">
        <v>307749</v>
      </c>
      <c r="B878" s="1">
        <v>44851</v>
      </c>
    </row>
    <row r="879" spans="1:2" x14ac:dyDescent="0.25">
      <c r="A879">
        <v>307751</v>
      </c>
      <c r="B879" s="1">
        <v>44774</v>
      </c>
    </row>
    <row r="880" spans="1:2" x14ac:dyDescent="0.25">
      <c r="A880">
        <v>307754</v>
      </c>
      <c r="B880" s="1">
        <v>44687</v>
      </c>
    </row>
    <row r="881" spans="1:2" x14ac:dyDescent="0.25">
      <c r="A881">
        <v>307763</v>
      </c>
      <c r="B881" s="1">
        <v>44854</v>
      </c>
    </row>
    <row r="882" spans="1:2" x14ac:dyDescent="0.25">
      <c r="A882">
        <v>307764</v>
      </c>
      <c r="B882" s="1">
        <v>44662</v>
      </c>
    </row>
    <row r="883" spans="1:2" x14ac:dyDescent="0.25">
      <c r="A883">
        <v>307769</v>
      </c>
      <c r="B883" s="1">
        <v>44666</v>
      </c>
    </row>
    <row r="884" spans="1:2" x14ac:dyDescent="0.25">
      <c r="A884">
        <v>307772</v>
      </c>
      <c r="B884" s="1">
        <v>44624</v>
      </c>
    </row>
    <row r="885" spans="1:2" x14ac:dyDescent="0.25">
      <c r="A885">
        <v>307774</v>
      </c>
      <c r="B885" s="1">
        <v>44666</v>
      </c>
    </row>
    <row r="886" spans="1:2" x14ac:dyDescent="0.25">
      <c r="A886">
        <v>307782</v>
      </c>
      <c r="B886" s="1">
        <v>44640</v>
      </c>
    </row>
    <row r="887" spans="1:2" x14ac:dyDescent="0.25">
      <c r="A887">
        <v>307792</v>
      </c>
      <c r="B887" s="1">
        <v>44658</v>
      </c>
    </row>
    <row r="888" spans="1:2" x14ac:dyDescent="0.25">
      <c r="A888">
        <v>307803</v>
      </c>
      <c r="B888" s="1">
        <v>44813</v>
      </c>
    </row>
    <row r="889" spans="1:2" x14ac:dyDescent="0.25">
      <c r="A889">
        <v>307808</v>
      </c>
      <c r="B889" s="1">
        <v>44697</v>
      </c>
    </row>
    <row r="890" spans="1:2" x14ac:dyDescent="0.25">
      <c r="A890">
        <v>307819</v>
      </c>
      <c r="B890" s="1">
        <v>44830</v>
      </c>
    </row>
    <row r="891" spans="1:2" x14ac:dyDescent="0.25">
      <c r="A891">
        <v>307826</v>
      </c>
      <c r="B891" s="1">
        <v>44826</v>
      </c>
    </row>
    <row r="892" spans="1:2" x14ac:dyDescent="0.25">
      <c r="A892">
        <v>307834</v>
      </c>
      <c r="B892" s="1">
        <v>44595</v>
      </c>
    </row>
    <row r="893" spans="1:2" x14ac:dyDescent="0.25">
      <c r="A893">
        <v>307837</v>
      </c>
      <c r="B893" s="1">
        <v>44890</v>
      </c>
    </row>
    <row r="894" spans="1:2" x14ac:dyDescent="0.25">
      <c r="A894">
        <v>307838</v>
      </c>
      <c r="B894" s="1">
        <v>44670</v>
      </c>
    </row>
    <row r="895" spans="1:2" x14ac:dyDescent="0.25">
      <c r="A895">
        <v>307843</v>
      </c>
      <c r="B895" s="1">
        <v>44606</v>
      </c>
    </row>
    <row r="896" spans="1:2" x14ac:dyDescent="0.25">
      <c r="A896">
        <v>307850</v>
      </c>
      <c r="B896" s="1">
        <v>44734</v>
      </c>
    </row>
    <row r="897" spans="1:2" x14ac:dyDescent="0.25">
      <c r="A897">
        <v>307853</v>
      </c>
      <c r="B897" s="1">
        <v>44642</v>
      </c>
    </row>
    <row r="898" spans="1:2" x14ac:dyDescent="0.25">
      <c r="A898">
        <v>307860</v>
      </c>
      <c r="B898" s="1">
        <v>44711</v>
      </c>
    </row>
    <row r="899" spans="1:2" x14ac:dyDescent="0.25">
      <c r="A899">
        <v>307863</v>
      </c>
      <c r="B899" s="1">
        <v>44678</v>
      </c>
    </row>
    <row r="900" spans="1:2" x14ac:dyDescent="0.25">
      <c r="A900">
        <v>307869</v>
      </c>
      <c r="B900" s="1">
        <v>44770</v>
      </c>
    </row>
    <row r="901" spans="1:2" x14ac:dyDescent="0.25">
      <c r="A901">
        <v>307873</v>
      </c>
      <c r="B901" s="1">
        <v>44724</v>
      </c>
    </row>
    <row r="902" spans="1:2" x14ac:dyDescent="0.25">
      <c r="A902">
        <v>307876</v>
      </c>
      <c r="B902" s="1">
        <v>44679</v>
      </c>
    </row>
    <row r="903" spans="1:2" x14ac:dyDescent="0.25">
      <c r="A903">
        <v>307881</v>
      </c>
      <c r="B903" s="1">
        <v>44831</v>
      </c>
    </row>
    <row r="904" spans="1:2" x14ac:dyDescent="0.25">
      <c r="A904">
        <v>307885</v>
      </c>
      <c r="B904" s="1">
        <v>44648</v>
      </c>
    </row>
    <row r="905" spans="1:2" x14ac:dyDescent="0.25">
      <c r="A905">
        <v>307888</v>
      </c>
      <c r="B905" s="1">
        <v>44620</v>
      </c>
    </row>
    <row r="906" spans="1:2" x14ac:dyDescent="0.25">
      <c r="A906">
        <v>307891</v>
      </c>
      <c r="B906" s="1">
        <v>44610</v>
      </c>
    </row>
    <row r="907" spans="1:2" x14ac:dyDescent="0.25">
      <c r="A907">
        <v>307897</v>
      </c>
      <c r="B907" s="1">
        <v>44621</v>
      </c>
    </row>
    <row r="908" spans="1:2" x14ac:dyDescent="0.25">
      <c r="A908">
        <v>307901</v>
      </c>
      <c r="B908" s="1">
        <v>44663</v>
      </c>
    </row>
    <row r="909" spans="1:2" x14ac:dyDescent="0.25">
      <c r="A909">
        <v>307903</v>
      </c>
      <c r="B909" s="1">
        <v>44887</v>
      </c>
    </row>
    <row r="910" spans="1:2" x14ac:dyDescent="0.25">
      <c r="A910">
        <v>307911</v>
      </c>
      <c r="B910" s="1">
        <v>44606</v>
      </c>
    </row>
    <row r="911" spans="1:2" x14ac:dyDescent="0.25">
      <c r="A911">
        <v>307915</v>
      </c>
      <c r="B911" s="1">
        <v>44834</v>
      </c>
    </row>
    <row r="912" spans="1:2" x14ac:dyDescent="0.25">
      <c r="A912">
        <v>307916</v>
      </c>
      <c r="B912" s="1">
        <v>44760</v>
      </c>
    </row>
    <row r="913" spans="1:2" x14ac:dyDescent="0.25">
      <c r="A913">
        <v>307920</v>
      </c>
      <c r="B913" s="1">
        <v>44694</v>
      </c>
    </row>
    <row r="914" spans="1:2" x14ac:dyDescent="0.25">
      <c r="A914">
        <v>307923</v>
      </c>
      <c r="B914" s="1">
        <v>44752</v>
      </c>
    </row>
    <row r="915" spans="1:2" x14ac:dyDescent="0.25">
      <c r="A915">
        <v>307928</v>
      </c>
      <c r="B915" s="1">
        <v>44635</v>
      </c>
    </row>
    <row r="916" spans="1:2" x14ac:dyDescent="0.25">
      <c r="A916">
        <v>307932</v>
      </c>
      <c r="B916" s="1">
        <v>44754</v>
      </c>
    </row>
    <row r="917" spans="1:2" x14ac:dyDescent="0.25">
      <c r="A917">
        <v>307939</v>
      </c>
      <c r="B917" s="1">
        <v>44735</v>
      </c>
    </row>
    <row r="918" spans="1:2" x14ac:dyDescent="0.25">
      <c r="A918">
        <v>307941</v>
      </c>
      <c r="B918" s="1">
        <v>44892</v>
      </c>
    </row>
    <row r="919" spans="1:2" x14ac:dyDescent="0.25">
      <c r="A919">
        <v>307946</v>
      </c>
      <c r="B919" s="1">
        <v>44855</v>
      </c>
    </row>
    <row r="920" spans="1:2" x14ac:dyDescent="0.25">
      <c r="A920">
        <v>307949</v>
      </c>
      <c r="B920" s="1">
        <v>44789</v>
      </c>
    </row>
    <row r="921" spans="1:2" x14ac:dyDescent="0.25">
      <c r="A921">
        <v>307954</v>
      </c>
      <c r="B921" s="1">
        <v>44857</v>
      </c>
    </row>
    <row r="922" spans="1:2" x14ac:dyDescent="0.25">
      <c r="A922">
        <v>307957</v>
      </c>
      <c r="B922" s="1">
        <v>44853</v>
      </c>
    </row>
    <row r="923" spans="1:2" x14ac:dyDescent="0.25">
      <c r="A923">
        <v>307964</v>
      </c>
      <c r="B923" s="1">
        <v>44735</v>
      </c>
    </row>
    <row r="924" spans="1:2" x14ac:dyDescent="0.25">
      <c r="A924">
        <v>307976</v>
      </c>
      <c r="B924" s="1">
        <v>44662</v>
      </c>
    </row>
    <row r="925" spans="1:2" x14ac:dyDescent="0.25">
      <c r="A925">
        <v>307979</v>
      </c>
      <c r="B925" s="1">
        <v>44677</v>
      </c>
    </row>
    <row r="926" spans="1:2" x14ac:dyDescent="0.25">
      <c r="A926">
        <v>307983</v>
      </c>
      <c r="B926" s="1">
        <v>44752</v>
      </c>
    </row>
    <row r="927" spans="1:2" x14ac:dyDescent="0.25">
      <c r="A927">
        <v>307985</v>
      </c>
      <c r="B927" s="1">
        <v>44779</v>
      </c>
    </row>
    <row r="928" spans="1:2" x14ac:dyDescent="0.25">
      <c r="A928">
        <v>307986</v>
      </c>
      <c r="B928" s="1">
        <v>44872</v>
      </c>
    </row>
    <row r="929" spans="1:2" x14ac:dyDescent="0.25">
      <c r="A929">
        <v>307988</v>
      </c>
      <c r="B929" s="1">
        <v>44768</v>
      </c>
    </row>
    <row r="930" spans="1:2" x14ac:dyDescent="0.25">
      <c r="A930">
        <v>307998</v>
      </c>
      <c r="B930" s="1">
        <v>44631</v>
      </c>
    </row>
    <row r="931" spans="1:2" x14ac:dyDescent="0.25">
      <c r="A931">
        <v>308000</v>
      </c>
      <c r="B931" s="1">
        <v>44825</v>
      </c>
    </row>
    <row r="932" spans="1:2" x14ac:dyDescent="0.25">
      <c r="A932">
        <v>308001</v>
      </c>
      <c r="B932" s="1">
        <v>44769</v>
      </c>
    </row>
    <row r="933" spans="1:2" x14ac:dyDescent="0.25">
      <c r="A933">
        <v>308004</v>
      </c>
      <c r="B933" s="1">
        <v>44623</v>
      </c>
    </row>
    <row r="934" spans="1:2" x14ac:dyDescent="0.25">
      <c r="A934">
        <v>308008</v>
      </c>
      <c r="B934" s="1">
        <v>44664</v>
      </c>
    </row>
    <row r="935" spans="1:2" x14ac:dyDescent="0.25">
      <c r="A935">
        <v>308011</v>
      </c>
      <c r="B935" s="1">
        <v>44610</v>
      </c>
    </row>
    <row r="936" spans="1:2" x14ac:dyDescent="0.25">
      <c r="A936">
        <v>308013</v>
      </c>
      <c r="B936" s="1">
        <v>44882</v>
      </c>
    </row>
    <row r="937" spans="1:2" x14ac:dyDescent="0.25">
      <c r="A937">
        <v>308018</v>
      </c>
      <c r="B937" s="1">
        <v>44664</v>
      </c>
    </row>
    <row r="938" spans="1:2" x14ac:dyDescent="0.25">
      <c r="A938">
        <v>308029</v>
      </c>
      <c r="B938" s="1">
        <v>44623</v>
      </c>
    </row>
    <row r="939" spans="1:2" x14ac:dyDescent="0.25">
      <c r="A939">
        <v>308032</v>
      </c>
      <c r="B939" s="1">
        <v>44727</v>
      </c>
    </row>
    <row r="940" spans="1:2" x14ac:dyDescent="0.25">
      <c r="A940">
        <v>308040</v>
      </c>
      <c r="B940" s="1">
        <v>44641</v>
      </c>
    </row>
    <row r="941" spans="1:2" x14ac:dyDescent="0.25">
      <c r="A941">
        <v>308041</v>
      </c>
      <c r="B941" s="1">
        <v>44746</v>
      </c>
    </row>
    <row r="942" spans="1:2" x14ac:dyDescent="0.25">
      <c r="A942">
        <v>308046</v>
      </c>
      <c r="B942" s="1">
        <v>44870</v>
      </c>
    </row>
    <row r="943" spans="1:2" x14ac:dyDescent="0.25">
      <c r="A943">
        <v>308048</v>
      </c>
      <c r="B943" s="1">
        <v>44800</v>
      </c>
    </row>
    <row r="944" spans="1:2" x14ac:dyDescent="0.25">
      <c r="A944">
        <v>308051</v>
      </c>
      <c r="B944" s="1">
        <v>44603</v>
      </c>
    </row>
    <row r="945" spans="1:2" x14ac:dyDescent="0.25">
      <c r="A945">
        <v>308055</v>
      </c>
      <c r="B945" s="1">
        <v>44788</v>
      </c>
    </row>
    <row r="946" spans="1:2" x14ac:dyDescent="0.25">
      <c r="A946">
        <v>308059</v>
      </c>
      <c r="B946" s="1">
        <v>44763</v>
      </c>
    </row>
    <row r="947" spans="1:2" x14ac:dyDescent="0.25">
      <c r="A947">
        <v>308063</v>
      </c>
      <c r="B947" s="1">
        <v>44642</v>
      </c>
    </row>
    <row r="948" spans="1:2" x14ac:dyDescent="0.25">
      <c r="A948">
        <v>308066</v>
      </c>
      <c r="B948" s="1">
        <v>44643</v>
      </c>
    </row>
    <row r="949" spans="1:2" x14ac:dyDescent="0.25">
      <c r="A949">
        <v>308073</v>
      </c>
      <c r="B949" s="1">
        <v>44771</v>
      </c>
    </row>
    <row r="950" spans="1:2" x14ac:dyDescent="0.25">
      <c r="A950">
        <v>308077</v>
      </c>
      <c r="B950" s="1">
        <v>44688</v>
      </c>
    </row>
    <row r="951" spans="1:2" x14ac:dyDescent="0.25">
      <c r="A951">
        <v>308085</v>
      </c>
      <c r="B951" s="1">
        <v>44658</v>
      </c>
    </row>
    <row r="952" spans="1:2" x14ac:dyDescent="0.25">
      <c r="A952">
        <v>308086</v>
      </c>
      <c r="B952" s="1">
        <v>44686</v>
      </c>
    </row>
    <row r="953" spans="1:2" x14ac:dyDescent="0.25">
      <c r="A953">
        <v>308089</v>
      </c>
      <c r="B953" s="1">
        <v>44664</v>
      </c>
    </row>
    <row r="954" spans="1:2" x14ac:dyDescent="0.25">
      <c r="A954">
        <v>308090</v>
      </c>
      <c r="B954" s="1">
        <v>44789</v>
      </c>
    </row>
    <row r="955" spans="1:2" x14ac:dyDescent="0.25">
      <c r="A955">
        <v>308095</v>
      </c>
      <c r="B955" s="1">
        <v>44665</v>
      </c>
    </row>
    <row r="956" spans="1:2" x14ac:dyDescent="0.25">
      <c r="A956">
        <v>308100</v>
      </c>
      <c r="B956" s="1">
        <v>44681</v>
      </c>
    </row>
    <row r="957" spans="1:2" x14ac:dyDescent="0.25">
      <c r="A957">
        <v>308101</v>
      </c>
      <c r="B957" s="1">
        <v>44638</v>
      </c>
    </row>
    <row r="958" spans="1:2" x14ac:dyDescent="0.25">
      <c r="A958">
        <v>308106</v>
      </c>
      <c r="B958" s="1">
        <v>44831</v>
      </c>
    </row>
    <row r="959" spans="1:2" x14ac:dyDescent="0.25">
      <c r="A959">
        <v>308116</v>
      </c>
      <c r="B959" s="1">
        <v>44708</v>
      </c>
    </row>
    <row r="960" spans="1:2" x14ac:dyDescent="0.25">
      <c r="A960">
        <v>308118</v>
      </c>
      <c r="B960" s="1">
        <v>44860</v>
      </c>
    </row>
    <row r="961" spans="1:2" x14ac:dyDescent="0.25">
      <c r="A961">
        <v>308127</v>
      </c>
      <c r="B961" s="1">
        <v>44694</v>
      </c>
    </row>
    <row r="962" spans="1:2" x14ac:dyDescent="0.25">
      <c r="A962">
        <v>308129</v>
      </c>
      <c r="B962" s="1">
        <v>44893</v>
      </c>
    </row>
    <row r="963" spans="1:2" x14ac:dyDescent="0.25">
      <c r="A963">
        <v>308133</v>
      </c>
      <c r="B963" s="1">
        <v>44811</v>
      </c>
    </row>
    <row r="964" spans="1:2" x14ac:dyDescent="0.25">
      <c r="A964">
        <v>308138</v>
      </c>
      <c r="B964" s="1">
        <v>44815</v>
      </c>
    </row>
    <row r="965" spans="1:2" x14ac:dyDescent="0.25">
      <c r="A965">
        <v>308143</v>
      </c>
      <c r="B965" s="1">
        <v>44648</v>
      </c>
    </row>
    <row r="966" spans="1:2" x14ac:dyDescent="0.25">
      <c r="A966">
        <v>308144</v>
      </c>
      <c r="B966" s="1">
        <v>44596</v>
      </c>
    </row>
    <row r="967" spans="1:2" x14ac:dyDescent="0.25">
      <c r="A967">
        <v>308150</v>
      </c>
      <c r="B967" s="1">
        <v>44619</v>
      </c>
    </row>
    <row r="968" spans="1:2" x14ac:dyDescent="0.25">
      <c r="A968">
        <v>308162</v>
      </c>
      <c r="B968" s="1">
        <v>44601</v>
      </c>
    </row>
    <row r="969" spans="1:2" x14ac:dyDescent="0.25">
      <c r="A969">
        <v>308163</v>
      </c>
      <c r="B969" s="1">
        <v>44760</v>
      </c>
    </row>
    <row r="970" spans="1:2" x14ac:dyDescent="0.25">
      <c r="A970">
        <v>308164</v>
      </c>
      <c r="B970" s="1">
        <v>44692</v>
      </c>
    </row>
    <row r="971" spans="1:2" x14ac:dyDescent="0.25">
      <c r="A971">
        <v>308169</v>
      </c>
      <c r="B971" s="1">
        <v>44825</v>
      </c>
    </row>
    <row r="972" spans="1:2" x14ac:dyDescent="0.25">
      <c r="A972">
        <v>308173</v>
      </c>
      <c r="B972" s="1">
        <v>44762</v>
      </c>
    </row>
    <row r="973" spans="1:2" x14ac:dyDescent="0.25">
      <c r="A973">
        <v>308175</v>
      </c>
      <c r="B973" s="1">
        <v>44626</v>
      </c>
    </row>
    <row r="974" spans="1:2" x14ac:dyDescent="0.25">
      <c r="A974">
        <v>308177</v>
      </c>
      <c r="B974" s="1">
        <v>44802</v>
      </c>
    </row>
    <row r="975" spans="1:2" x14ac:dyDescent="0.25">
      <c r="A975">
        <v>308179</v>
      </c>
      <c r="B975" s="1">
        <v>44775</v>
      </c>
    </row>
    <row r="976" spans="1:2" x14ac:dyDescent="0.25">
      <c r="A976">
        <v>308185</v>
      </c>
      <c r="B976" s="1">
        <v>44640</v>
      </c>
    </row>
    <row r="977" spans="1:2" x14ac:dyDescent="0.25">
      <c r="A977">
        <v>308192</v>
      </c>
      <c r="B977" s="1">
        <v>44689</v>
      </c>
    </row>
    <row r="978" spans="1:2" x14ac:dyDescent="0.25">
      <c r="A978">
        <v>308194</v>
      </c>
      <c r="B978" s="1">
        <v>44840</v>
      </c>
    </row>
    <row r="979" spans="1:2" x14ac:dyDescent="0.25">
      <c r="A979">
        <v>308201</v>
      </c>
      <c r="B979" s="1">
        <v>44734</v>
      </c>
    </row>
    <row r="980" spans="1:2" x14ac:dyDescent="0.25">
      <c r="A980">
        <v>308206</v>
      </c>
      <c r="B980" s="1">
        <v>44658</v>
      </c>
    </row>
    <row r="981" spans="1:2" x14ac:dyDescent="0.25">
      <c r="A981">
        <v>308213</v>
      </c>
      <c r="B981" s="1">
        <v>44802</v>
      </c>
    </row>
    <row r="982" spans="1:2" x14ac:dyDescent="0.25">
      <c r="A982">
        <v>308217</v>
      </c>
      <c r="B982" s="1">
        <v>44607</v>
      </c>
    </row>
    <row r="983" spans="1:2" x14ac:dyDescent="0.25">
      <c r="A983">
        <v>308222</v>
      </c>
      <c r="B983" s="1">
        <v>44689</v>
      </c>
    </row>
    <row r="984" spans="1:2" x14ac:dyDescent="0.25">
      <c r="A984">
        <v>308223</v>
      </c>
      <c r="B984" s="1">
        <v>44598</v>
      </c>
    </row>
    <row r="985" spans="1:2" x14ac:dyDescent="0.25">
      <c r="A985">
        <v>308224</v>
      </c>
      <c r="B985" s="1">
        <v>44780</v>
      </c>
    </row>
    <row r="986" spans="1:2" x14ac:dyDescent="0.25">
      <c r="A986">
        <v>308226</v>
      </c>
      <c r="B986" s="1">
        <v>44710</v>
      </c>
    </row>
    <row r="987" spans="1:2" x14ac:dyDescent="0.25">
      <c r="A987">
        <v>308231</v>
      </c>
      <c r="B987" s="1">
        <v>44779</v>
      </c>
    </row>
    <row r="988" spans="1:2" x14ac:dyDescent="0.25">
      <c r="A988">
        <v>308235</v>
      </c>
      <c r="B988" s="1">
        <v>44599</v>
      </c>
    </row>
    <row r="989" spans="1:2" x14ac:dyDescent="0.25">
      <c r="A989">
        <v>308238</v>
      </c>
      <c r="B989" s="1">
        <v>44779</v>
      </c>
    </row>
    <row r="990" spans="1:2" x14ac:dyDescent="0.25">
      <c r="A990">
        <v>308241</v>
      </c>
      <c r="B990" s="1">
        <v>44748</v>
      </c>
    </row>
    <row r="991" spans="1:2" x14ac:dyDescent="0.25">
      <c r="A991">
        <v>308252</v>
      </c>
      <c r="B991" s="1">
        <v>44674</v>
      </c>
    </row>
    <row r="992" spans="1:2" x14ac:dyDescent="0.25">
      <c r="A992">
        <v>308256</v>
      </c>
      <c r="B992" s="1">
        <v>44845</v>
      </c>
    </row>
    <row r="993" spans="1:2" x14ac:dyDescent="0.25">
      <c r="A993">
        <v>308258</v>
      </c>
      <c r="B993" s="1">
        <v>44776</v>
      </c>
    </row>
    <row r="994" spans="1:2" x14ac:dyDescent="0.25">
      <c r="A994">
        <v>308263</v>
      </c>
      <c r="B994" s="1">
        <v>44634</v>
      </c>
    </row>
    <row r="995" spans="1:2" x14ac:dyDescent="0.25">
      <c r="A995">
        <v>308266</v>
      </c>
      <c r="B995" s="1">
        <v>44734</v>
      </c>
    </row>
    <row r="996" spans="1:2" x14ac:dyDescent="0.25">
      <c r="A996">
        <v>308270</v>
      </c>
      <c r="B996" s="1">
        <v>44714</v>
      </c>
    </row>
    <row r="997" spans="1:2" x14ac:dyDescent="0.25">
      <c r="A997">
        <v>308272</v>
      </c>
      <c r="B997" s="1">
        <v>44607</v>
      </c>
    </row>
    <row r="998" spans="1:2" x14ac:dyDescent="0.25">
      <c r="A998">
        <v>308274</v>
      </c>
      <c r="B998" s="1">
        <v>44840</v>
      </c>
    </row>
    <row r="999" spans="1:2" x14ac:dyDescent="0.25">
      <c r="A999">
        <v>308275</v>
      </c>
      <c r="B999" s="1">
        <v>44784</v>
      </c>
    </row>
    <row r="1000" spans="1:2" x14ac:dyDescent="0.25">
      <c r="A1000">
        <v>308278</v>
      </c>
      <c r="B1000" s="1">
        <v>44627</v>
      </c>
    </row>
    <row r="1001" spans="1:2" x14ac:dyDescent="0.25">
      <c r="A1001">
        <v>308282</v>
      </c>
      <c r="B1001" s="1">
        <v>44609</v>
      </c>
    </row>
    <row r="1002" spans="1:2" x14ac:dyDescent="0.25">
      <c r="A1002">
        <v>308286</v>
      </c>
      <c r="B1002" s="1">
        <v>44643</v>
      </c>
    </row>
    <row r="1003" spans="1:2" x14ac:dyDescent="0.25">
      <c r="A1003">
        <v>308288</v>
      </c>
      <c r="B1003" s="1">
        <v>44810</v>
      </c>
    </row>
    <row r="1004" spans="1:2" x14ac:dyDescent="0.25">
      <c r="A1004">
        <v>308293</v>
      </c>
      <c r="B1004" s="1">
        <v>44788</v>
      </c>
    </row>
    <row r="1005" spans="1:2" x14ac:dyDescent="0.25">
      <c r="A1005">
        <v>308294</v>
      </c>
      <c r="B1005" s="1">
        <v>44622</v>
      </c>
    </row>
    <row r="1006" spans="1:2" x14ac:dyDescent="0.25">
      <c r="A1006">
        <v>308299</v>
      </c>
      <c r="B1006" s="1">
        <v>44658</v>
      </c>
    </row>
    <row r="1007" spans="1:2" x14ac:dyDescent="0.25">
      <c r="A1007">
        <v>308313</v>
      </c>
      <c r="B1007" s="1">
        <v>44620</v>
      </c>
    </row>
    <row r="1008" spans="1:2" x14ac:dyDescent="0.25">
      <c r="A1008">
        <v>308318</v>
      </c>
      <c r="B1008" s="1">
        <v>44653</v>
      </c>
    </row>
    <row r="1009" spans="1:2" x14ac:dyDescent="0.25">
      <c r="A1009">
        <v>308323</v>
      </c>
      <c r="B1009" s="1">
        <v>44787</v>
      </c>
    </row>
    <row r="1010" spans="1:2" x14ac:dyDescent="0.25">
      <c r="A1010">
        <v>308328</v>
      </c>
      <c r="B1010" s="1">
        <v>44623</v>
      </c>
    </row>
    <row r="1011" spans="1:2" x14ac:dyDescent="0.25">
      <c r="A1011">
        <v>308333</v>
      </c>
      <c r="B1011" s="1">
        <v>44815</v>
      </c>
    </row>
    <row r="1012" spans="1:2" x14ac:dyDescent="0.25">
      <c r="A1012">
        <v>308337</v>
      </c>
      <c r="B1012" s="1">
        <v>44604</v>
      </c>
    </row>
    <row r="1013" spans="1:2" x14ac:dyDescent="0.25">
      <c r="A1013">
        <v>308340</v>
      </c>
      <c r="B1013" s="1">
        <v>44623</v>
      </c>
    </row>
    <row r="1014" spans="1:2" x14ac:dyDescent="0.25">
      <c r="A1014">
        <v>308342</v>
      </c>
      <c r="B1014" s="1">
        <v>44713</v>
      </c>
    </row>
    <row r="1015" spans="1:2" x14ac:dyDescent="0.25">
      <c r="A1015">
        <v>308347</v>
      </c>
      <c r="B1015" s="1">
        <v>44833</v>
      </c>
    </row>
    <row r="1016" spans="1:2" x14ac:dyDescent="0.25">
      <c r="A1016">
        <v>308348</v>
      </c>
      <c r="B1016" s="1">
        <v>44894</v>
      </c>
    </row>
    <row r="1017" spans="1:2" x14ac:dyDescent="0.25">
      <c r="A1017">
        <v>308352</v>
      </c>
      <c r="B1017" s="1">
        <v>44630</v>
      </c>
    </row>
    <row r="1018" spans="1:2" x14ac:dyDescent="0.25">
      <c r="A1018">
        <v>308353</v>
      </c>
      <c r="B1018" s="1">
        <v>44695</v>
      </c>
    </row>
    <row r="1019" spans="1:2" x14ac:dyDescent="0.25">
      <c r="A1019">
        <v>308356</v>
      </c>
      <c r="B1019" s="1">
        <v>44779</v>
      </c>
    </row>
    <row r="1020" spans="1:2" x14ac:dyDescent="0.25">
      <c r="A1020">
        <v>308361</v>
      </c>
      <c r="B1020" s="1">
        <v>44869</v>
      </c>
    </row>
    <row r="1021" spans="1:2" x14ac:dyDescent="0.25">
      <c r="A1021">
        <v>308363</v>
      </c>
      <c r="B1021" s="1">
        <v>44655</v>
      </c>
    </row>
    <row r="1022" spans="1:2" x14ac:dyDescent="0.25">
      <c r="A1022">
        <v>308368</v>
      </c>
      <c r="B1022" s="1">
        <v>44862</v>
      </c>
    </row>
    <row r="1023" spans="1:2" x14ac:dyDescent="0.25">
      <c r="A1023">
        <v>308369</v>
      </c>
      <c r="B1023" s="1">
        <v>44604</v>
      </c>
    </row>
    <row r="1024" spans="1:2" x14ac:dyDescent="0.25">
      <c r="A1024">
        <v>308374</v>
      </c>
      <c r="B1024" s="1">
        <v>44736</v>
      </c>
    </row>
    <row r="1025" spans="1:2" x14ac:dyDescent="0.25">
      <c r="A1025">
        <v>308379</v>
      </c>
      <c r="B1025" s="1">
        <v>44610</v>
      </c>
    </row>
    <row r="1026" spans="1:2" x14ac:dyDescent="0.25">
      <c r="A1026">
        <v>308380</v>
      </c>
      <c r="B1026" s="1">
        <v>44728</v>
      </c>
    </row>
    <row r="1027" spans="1:2" x14ac:dyDescent="0.25">
      <c r="A1027">
        <v>308387</v>
      </c>
      <c r="B1027" s="1">
        <v>44780</v>
      </c>
    </row>
    <row r="1028" spans="1:2" x14ac:dyDescent="0.25">
      <c r="A1028">
        <v>308392</v>
      </c>
      <c r="B1028" s="1">
        <v>44799</v>
      </c>
    </row>
    <row r="1029" spans="1:2" x14ac:dyDescent="0.25">
      <c r="A1029">
        <v>308397</v>
      </c>
      <c r="B1029" s="1">
        <v>44742</v>
      </c>
    </row>
    <row r="1030" spans="1:2" x14ac:dyDescent="0.25">
      <c r="A1030">
        <v>308400</v>
      </c>
      <c r="B1030" s="1">
        <v>44783</v>
      </c>
    </row>
    <row r="1031" spans="1:2" x14ac:dyDescent="0.25">
      <c r="A1031">
        <v>308405</v>
      </c>
      <c r="B1031" s="1">
        <v>44791</v>
      </c>
    </row>
    <row r="1032" spans="1:2" x14ac:dyDescent="0.25">
      <c r="A1032">
        <v>308410</v>
      </c>
      <c r="B1032" s="1">
        <v>44600</v>
      </c>
    </row>
    <row r="1033" spans="1:2" x14ac:dyDescent="0.25">
      <c r="A1033">
        <v>308414</v>
      </c>
      <c r="B1033" s="1">
        <v>44633</v>
      </c>
    </row>
    <row r="1034" spans="1:2" x14ac:dyDescent="0.25">
      <c r="A1034">
        <v>308416</v>
      </c>
      <c r="B1034" s="1">
        <v>44778</v>
      </c>
    </row>
    <row r="1035" spans="1:2" x14ac:dyDescent="0.25">
      <c r="A1035">
        <v>308426</v>
      </c>
      <c r="B1035" s="1">
        <v>44595</v>
      </c>
    </row>
    <row r="1036" spans="1:2" x14ac:dyDescent="0.25">
      <c r="A1036">
        <v>308429</v>
      </c>
      <c r="B1036" s="1">
        <v>44806</v>
      </c>
    </row>
    <row r="1037" spans="1:2" x14ac:dyDescent="0.25">
      <c r="A1037">
        <v>308431</v>
      </c>
      <c r="B1037" s="1">
        <v>44629</v>
      </c>
    </row>
    <row r="1038" spans="1:2" x14ac:dyDescent="0.25">
      <c r="A1038">
        <v>308433</v>
      </c>
      <c r="B1038" s="1">
        <v>44888</v>
      </c>
    </row>
    <row r="1039" spans="1:2" x14ac:dyDescent="0.25">
      <c r="A1039">
        <v>308442</v>
      </c>
      <c r="B1039" s="1">
        <v>44629</v>
      </c>
    </row>
    <row r="1040" spans="1:2" x14ac:dyDescent="0.25">
      <c r="A1040">
        <v>308445</v>
      </c>
      <c r="B1040" s="1">
        <v>44663</v>
      </c>
    </row>
    <row r="1041" spans="1:2" x14ac:dyDescent="0.25">
      <c r="A1041">
        <v>308447</v>
      </c>
      <c r="B1041" s="1">
        <v>44725</v>
      </c>
    </row>
    <row r="1042" spans="1:2" x14ac:dyDescent="0.25">
      <c r="A1042">
        <v>308451</v>
      </c>
      <c r="B1042" s="1">
        <v>44727</v>
      </c>
    </row>
    <row r="1043" spans="1:2" x14ac:dyDescent="0.25">
      <c r="A1043">
        <v>308456</v>
      </c>
      <c r="B1043" s="1">
        <v>44885</v>
      </c>
    </row>
    <row r="1044" spans="1:2" x14ac:dyDescent="0.25">
      <c r="A1044">
        <v>308461</v>
      </c>
      <c r="B1044" s="1">
        <v>44767</v>
      </c>
    </row>
    <row r="1045" spans="1:2" x14ac:dyDescent="0.25">
      <c r="A1045">
        <v>308465</v>
      </c>
      <c r="B1045" s="1">
        <v>44740</v>
      </c>
    </row>
    <row r="1046" spans="1:2" x14ac:dyDescent="0.25">
      <c r="A1046">
        <v>308468</v>
      </c>
      <c r="B1046" s="1">
        <v>44730</v>
      </c>
    </row>
    <row r="1047" spans="1:2" x14ac:dyDescent="0.25">
      <c r="A1047">
        <v>308473</v>
      </c>
      <c r="B1047" s="1">
        <v>44863</v>
      </c>
    </row>
    <row r="1048" spans="1:2" x14ac:dyDescent="0.25">
      <c r="A1048">
        <v>308474</v>
      </c>
      <c r="B1048" s="1">
        <v>44620</v>
      </c>
    </row>
    <row r="1049" spans="1:2" x14ac:dyDescent="0.25">
      <c r="A1049">
        <v>308475</v>
      </c>
      <c r="B1049" s="1">
        <v>44792</v>
      </c>
    </row>
    <row r="1050" spans="1:2" x14ac:dyDescent="0.25">
      <c r="A1050">
        <v>308479</v>
      </c>
      <c r="B1050" s="1">
        <v>44792</v>
      </c>
    </row>
    <row r="1051" spans="1:2" x14ac:dyDescent="0.25">
      <c r="A1051">
        <v>308480</v>
      </c>
      <c r="B1051" s="1">
        <v>44719</v>
      </c>
    </row>
    <row r="1052" spans="1:2" x14ac:dyDescent="0.25">
      <c r="A1052">
        <v>308481</v>
      </c>
      <c r="B1052" s="1">
        <v>44886</v>
      </c>
    </row>
    <row r="1053" spans="1:2" x14ac:dyDescent="0.25">
      <c r="A1053">
        <v>308483</v>
      </c>
      <c r="B1053" s="1">
        <v>44821</v>
      </c>
    </row>
    <row r="1054" spans="1:2" x14ac:dyDescent="0.25">
      <c r="A1054">
        <v>308488</v>
      </c>
      <c r="B1054" s="1">
        <v>44628</v>
      </c>
    </row>
    <row r="1055" spans="1:2" x14ac:dyDescent="0.25">
      <c r="A1055">
        <v>308493</v>
      </c>
      <c r="B1055" s="1">
        <v>44605</v>
      </c>
    </row>
    <row r="1056" spans="1:2" x14ac:dyDescent="0.25">
      <c r="A1056">
        <v>308498</v>
      </c>
      <c r="B1056" s="1">
        <v>44814</v>
      </c>
    </row>
    <row r="1057" spans="1:2" x14ac:dyDescent="0.25">
      <c r="A1057">
        <v>308506</v>
      </c>
      <c r="B1057" s="1">
        <v>44745</v>
      </c>
    </row>
    <row r="1058" spans="1:2" x14ac:dyDescent="0.25">
      <c r="A1058">
        <v>308510</v>
      </c>
      <c r="B1058" s="1">
        <v>44595</v>
      </c>
    </row>
    <row r="1059" spans="1:2" x14ac:dyDescent="0.25">
      <c r="A1059">
        <v>308513</v>
      </c>
      <c r="B1059" s="1">
        <v>44850</v>
      </c>
    </row>
    <row r="1060" spans="1:2" x14ac:dyDescent="0.25">
      <c r="A1060">
        <v>308514</v>
      </c>
      <c r="B1060" s="1">
        <v>44632</v>
      </c>
    </row>
    <row r="1061" spans="1:2" x14ac:dyDescent="0.25">
      <c r="A1061">
        <v>308515</v>
      </c>
      <c r="B1061" s="1">
        <v>44612</v>
      </c>
    </row>
    <row r="1062" spans="1:2" x14ac:dyDescent="0.25">
      <c r="A1062">
        <v>308524</v>
      </c>
      <c r="B1062" s="1">
        <v>44759</v>
      </c>
    </row>
    <row r="1063" spans="1:2" x14ac:dyDescent="0.25">
      <c r="A1063">
        <v>308526</v>
      </c>
      <c r="B1063" s="1">
        <v>44617</v>
      </c>
    </row>
    <row r="1064" spans="1:2" x14ac:dyDescent="0.25">
      <c r="A1064">
        <v>308531</v>
      </c>
      <c r="B1064" s="1">
        <v>44609</v>
      </c>
    </row>
    <row r="1065" spans="1:2" x14ac:dyDescent="0.25">
      <c r="A1065">
        <v>308534</v>
      </c>
      <c r="B1065" s="1">
        <v>44842</v>
      </c>
    </row>
    <row r="1066" spans="1:2" x14ac:dyDescent="0.25">
      <c r="A1066">
        <v>308536</v>
      </c>
      <c r="B1066" s="1">
        <v>44786</v>
      </c>
    </row>
    <row r="1067" spans="1:2" x14ac:dyDescent="0.25">
      <c r="A1067">
        <v>308540</v>
      </c>
      <c r="B1067" s="1">
        <v>44623</v>
      </c>
    </row>
    <row r="1068" spans="1:2" x14ac:dyDescent="0.25">
      <c r="A1068">
        <v>308551</v>
      </c>
      <c r="B1068" s="1">
        <v>44839</v>
      </c>
    </row>
    <row r="1069" spans="1:2" x14ac:dyDescent="0.25">
      <c r="A1069">
        <v>308564</v>
      </c>
      <c r="B1069" s="1">
        <v>44843</v>
      </c>
    </row>
    <row r="1070" spans="1:2" x14ac:dyDescent="0.25">
      <c r="A1070">
        <v>308576</v>
      </c>
      <c r="B1070" s="1">
        <v>44878</v>
      </c>
    </row>
    <row r="1071" spans="1:2" x14ac:dyDescent="0.25">
      <c r="A1071">
        <v>308582</v>
      </c>
      <c r="B1071" s="1">
        <v>44856</v>
      </c>
    </row>
    <row r="1072" spans="1:2" x14ac:dyDescent="0.25">
      <c r="A1072">
        <v>308585</v>
      </c>
      <c r="B1072" s="1">
        <v>44719</v>
      </c>
    </row>
    <row r="1073" spans="1:2" x14ac:dyDescent="0.25">
      <c r="A1073">
        <v>308589</v>
      </c>
      <c r="B1073" s="1">
        <v>44775</v>
      </c>
    </row>
    <row r="1074" spans="1:2" x14ac:dyDescent="0.25">
      <c r="A1074">
        <v>308594</v>
      </c>
      <c r="B1074" s="1">
        <v>44751</v>
      </c>
    </row>
    <row r="1075" spans="1:2" x14ac:dyDescent="0.25">
      <c r="A1075">
        <v>308599</v>
      </c>
      <c r="B1075" s="1">
        <v>44630</v>
      </c>
    </row>
    <row r="1076" spans="1:2" x14ac:dyDescent="0.25">
      <c r="A1076">
        <v>308612</v>
      </c>
      <c r="B1076" s="1">
        <v>44778</v>
      </c>
    </row>
    <row r="1077" spans="1:2" x14ac:dyDescent="0.25">
      <c r="A1077">
        <v>308616</v>
      </c>
      <c r="B1077" s="1">
        <v>44661</v>
      </c>
    </row>
    <row r="1078" spans="1:2" x14ac:dyDescent="0.25">
      <c r="A1078">
        <v>308621</v>
      </c>
      <c r="B1078" s="1">
        <v>44769</v>
      </c>
    </row>
    <row r="1079" spans="1:2" x14ac:dyDescent="0.25">
      <c r="A1079">
        <v>308623</v>
      </c>
      <c r="B1079" s="1">
        <v>44645</v>
      </c>
    </row>
    <row r="1080" spans="1:2" x14ac:dyDescent="0.25">
      <c r="A1080">
        <v>308625</v>
      </c>
      <c r="B1080" s="1">
        <v>44688</v>
      </c>
    </row>
    <row r="1081" spans="1:2" x14ac:dyDescent="0.25">
      <c r="A1081">
        <v>308626</v>
      </c>
      <c r="B1081" s="1">
        <v>44746</v>
      </c>
    </row>
    <row r="1082" spans="1:2" x14ac:dyDescent="0.25">
      <c r="A1082">
        <v>308630</v>
      </c>
      <c r="B1082" s="1">
        <v>44657</v>
      </c>
    </row>
    <row r="1083" spans="1:2" x14ac:dyDescent="0.25">
      <c r="A1083">
        <v>308633</v>
      </c>
      <c r="B1083" s="1">
        <v>44807</v>
      </c>
    </row>
    <row r="1084" spans="1:2" x14ac:dyDescent="0.25">
      <c r="A1084">
        <v>308635</v>
      </c>
      <c r="B1084" s="1">
        <v>44688</v>
      </c>
    </row>
    <row r="1085" spans="1:2" x14ac:dyDescent="0.25">
      <c r="A1085">
        <v>308636</v>
      </c>
      <c r="B1085" s="1">
        <v>44847</v>
      </c>
    </row>
    <row r="1086" spans="1:2" x14ac:dyDescent="0.25">
      <c r="A1086">
        <v>308641</v>
      </c>
      <c r="B1086" s="1">
        <v>44658</v>
      </c>
    </row>
    <row r="1087" spans="1:2" x14ac:dyDescent="0.25">
      <c r="A1087">
        <v>308642</v>
      </c>
      <c r="B1087" s="1">
        <v>44662</v>
      </c>
    </row>
    <row r="1088" spans="1:2" x14ac:dyDescent="0.25">
      <c r="A1088">
        <v>308643</v>
      </c>
      <c r="B1088" s="1">
        <v>44869</v>
      </c>
    </row>
    <row r="1089" spans="1:2" x14ac:dyDescent="0.25">
      <c r="A1089">
        <v>308654</v>
      </c>
      <c r="B1089" s="1">
        <v>44701</v>
      </c>
    </row>
    <row r="1090" spans="1:2" x14ac:dyDescent="0.25">
      <c r="A1090">
        <v>308664</v>
      </c>
      <c r="B1090" s="1">
        <v>44870</v>
      </c>
    </row>
    <row r="1091" spans="1:2" x14ac:dyDescent="0.25">
      <c r="A1091">
        <v>308668</v>
      </c>
      <c r="B1091" s="1">
        <v>44669</v>
      </c>
    </row>
    <row r="1092" spans="1:2" x14ac:dyDescent="0.25">
      <c r="A1092">
        <v>308672</v>
      </c>
      <c r="B1092" s="1">
        <v>44705</v>
      </c>
    </row>
    <row r="1093" spans="1:2" x14ac:dyDescent="0.25">
      <c r="A1093">
        <v>308677</v>
      </c>
      <c r="B1093" s="1">
        <v>44831</v>
      </c>
    </row>
    <row r="1094" spans="1:2" x14ac:dyDescent="0.25">
      <c r="A1094">
        <v>308680</v>
      </c>
      <c r="B1094" s="1">
        <v>44866</v>
      </c>
    </row>
    <row r="1095" spans="1:2" x14ac:dyDescent="0.25">
      <c r="A1095">
        <v>308682</v>
      </c>
      <c r="B1095" s="1">
        <v>44890</v>
      </c>
    </row>
    <row r="1096" spans="1:2" x14ac:dyDescent="0.25">
      <c r="A1096">
        <v>308687</v>
      </c>
      <c r="B1096" s="1">
        <v>44831</v>
      </c>
    </row>
    <row r="1097" spans="1:2" x14ac:dyDescent="0.25">
      <c r="A1097">
        <v>308688</v>
      </c>
      <c r="B1097" s="1">
        <v>44881</v>
      </c>
    </row>
    <row r="1098" spans="1:2" x14ac:dyDescent="0.25">
      <c r="A1098">
        <v>308691</v>
      </c>
      <c r="B1098" s="1">
        <v>44741</v>
      </c>
    </row>
    <row r="1099" spans="1:2" x14ac:dyDescent="0.25">
      <c r="A1099">
        <v>308696</v>
      </c>
      <c r="B1099" s="1">
        <v>44786</v>
      </c>
    </row>
    <row r="1100" spans="1:2" x14ac:dyDescent="0.25">
      <c r="A1100">
        <v>308703</v>
      </c>
      <c r="B1100" s="1">
        <v>44800</v>
      </c>
    </row>
    <row r="1101" spans="1:2" x14ac:dyDescent="0.25">
      <c r="A1101">
        <v>308706</v>
      </c>
      <c r="B1101" s="1">
        <v>44679</v>
      </c>
    </row>
    <row r="1102" spans="1:2" x14ac:dyDescent="0.25">
      <c r="A1102">
        <v>308710</v>
      </c>
      <c r="B1102" s="1">
        <v>44774</v>
      </c>
    </row>
    <row r="1103" spans="1:2" x14ac:dyDescent="0.25">
      <c r="A1103">
        <v>308717</v>
      </c>
      <c r="B1103" s="1">
        <v>44862</v>
      </c>
    </row>
    <row r="1104" spans="1:2" x14ac:dyDescent="0.25">
      <c r="A1104">
        <v>308718</v>
      </c>
      <c r="B1104" s="1">
        <v>44668</v>
      </c>
    </row>
    <row r="1105" spans="1:2" x14ac:dyDescent="0.25">
      <c r="A1105">
        <v>308723</v>
      </c>
      <c r="B1105" s="1">
        <v>44848</v>
      </c>
    </row>
    <row r="1106" spans="1:2" x14ac:dyDescent="0.25">
      <c r="A1106">
        <v>308725</v>
      </c>
      <c r="B1106" s="1">
        <v>44689</v>
      </c>
    </row>
    <row r="1107" spans="1:2" x14ac:dyDescent="0.25">
      <c r="A1107">
        <v>308726</v>
      </c>
      <c r="B1107" s="1">
        <v>44595</v>
      </c>
    </row>
    <row r="1108" spans="1:2" x14ac:dyDescent="0.25">
      <c r="A1108">
        <v>308728</v>
      </c>
      <c r="B1108" s="1">
        <v>44834</v>
      </c>
    </row>
    <row r="1109" spans="1:2" x14ac:dyDescent="0.25">
      <c r="A1109">
        <v>308731</v>
      </c>
      <c r="B1109" s="1">
        <v>44853</v>
      </c>
    </row>
    <row r="1110" spans="1:2" x14ac:dyDescent="0.25">
      <c r="A1110">
        <v>308732</v>
      </c>
      <c r="B1110" s="1">
        <v>44883</v>
      </c>
    </row>
    <row r="1111" spans="1:2" x14ac:dyDescent="0.25">
      <c r="A1111">
        <v>308733</v>
      </c>
      <c r="B1111" s="1">
        <v>44667</v>
      </c>
    </row>
    <row r="1112" spans="1:2" x14ac:dyDescent="0.25">
      <c r="A1112">
        <v>308737</v>
      </c>
      <c r="B1112" s="1">
        <v>44611</v>
      </c>
    </row>
    <row r="1113" spans="1:2" x14ac:dyDescent="0.25">
      <c r="A1113">
        <v>308740</v>
      </c>
      <c r="B1113" s="1">
        <v>44861</v>
      </c>
    </row>
    <row r="1114" spans="1:2" x14ac:dyDescent="0.25">
      <c r="A1114">
        <v>308741</v>
      </c>
      <c r="B1114" s="1">
        <v>44832</v>
      </c>
    </row>
    <row r="1115" spans="1:2" x14ac:dyDescent="0.25">
      <c r="A1115">
        <v>308744</v>
      </c>
      <c r="B1115" s="1">
        <v>44887</v>
      </c>
    </row>
    <row r="1116" spans="1:2" x14ac:dyDescent="0.25">
      <c r="A1116">
        <v>308745</v>
      </c>
      <c r="B1116" s="1">
        <v>44647</v>
      </c>
    </row>
    <row r="1117" spans="1:2" x14ac:dyDescent="0.25">
      <c r="A1117">
        <v>308753</v>
      </c>
      <c r="B1117" s="1">
        <v>44724</v>
      </c>
    </row>
    <row r="1118" spans="1:2" x14ac:dyDescent="0.25">
      <c r="A1118">
        <v>308757</v>
      </c>
      <c r="B1118" s="1">
        <v>44674</v>
      </c>
    </row>
    <row r="1119" spans="1:2" x14ac:dyDescent="0.25">
      <c r="A1119">
        <v>308759</v>
      </c>
      <c r="B1119" s="1">
        <v>44824</v>
      </c>
    </row>
    <row r="1120" spans="1:2" x14ac:dyDescent="0.25">
      <c r="A1120">
        <v>308762</v>
      </c>
      <c r="B1120" s="1">
        <v>44855</v>
      </c>
    </row>
    <row r="1121" spans="1:2" x14ac:dyDescent="0.25">
      <c r="A1121">
        <v>308767</v>
      </c>
      <c r="B1121" s="1">
        <v>44703</v>
      </c>
    </row>
    <row r="1122" spans="1:2" x14ac:dyDescent="0.25">
      <c r="A1122">
        <v>308768</v>
      </c>
      <c r="B1122" s="1">
        <v>44659</v>
      </c>
    </row>
    <row r="1123" spans="1:2" x14ac:dyDescent="0.25">
      <c r="A1123">
        <v>308772</v>
      </c>
      <c r="B1123" s="1">
        <v>44835</v>
      </c>
    </row>
    <row r="1124" spans="1:2" x14ac:dyDescent="0.25">
      <c r="A1124">
        <v>308778</v>
      </c>
      <c r="B1124" s="1">
        <v>44827</v>
      </c>
    </row>
    <row r="1125" spans="1:2" x14ac:dyDescent="0.25">
      <c r="A1125">
        <v>308785</v>
      </c>
      <c r="B1125" s="1">
        <v>44692</v>
      </c>
    </row>
    <row r="1126" spans="1:2" x14ac:dyDescent="0.25">
      <c r="A1126">
        <v>308788</v>
      </c>
      <c r="B1126" s="1">
        <v>44801</v>
      </c>
    </row>
    <row r="1127" spans="1:2" x14ac:dyDescent="0.25">
      <c r="A1127">
        <v>308792</v>
      </c>
      <c r="B1127" s="1">
        <v>44802</v>
      </c>
    </row>
    <row r="1128" spans="1:2" x14ac:dyDescent="0.25">
      <c r="A1128">
        <v>308799</v>
      </c>
      <c r="B1128" s="1">
        <v>44595</v>
      </c>
    </row>
    <row r="1129" spans="1:2" x14ac:dyDescent="0.25">
      <c r="A1129">
        <v>308809</v>
      </c>
      <c r="B1129" s="1">
        <v>44783</v>
      </c>
    </row>
    <row r="1130" spans="1:2" x14ac:dyDescent="0.25">
      <c r="A1130">
        <v>308814</v>
      </c>
      <c r="B1130" s="1">
        <v>44792</v>
      </c>
    </row>
    <row r="1131" spans="1:2" x14ac:dyDescent="0.25">
      <c r="A1131">
        <v>308819</v>
      </c>
      <c r="B1131" s="1">
        <v>44810</v>
      </c>
    </row>
    <row r="1132" spans="1:2" x14ac:dyDescent="0.25">
      <c r="A1132">
        <v>308830</v>
      </c>
      <c r="B1132" s="1">
        <v>44707</v>
      </c>
    </row>
    <row r="1133" spans="1:2" x14ac:dyDescent="0.25">
      <c r="A1133">
        <v>308834</v>
      </c>
      <c r="B1133" s="1">
        <v>44839</v>
      </c>
    </row>
    <row r="1134" spans="1:2" x14ac:dyDescent="0.25">
      <c r="A1134">
        <v>308836</v>
      </c>
      <c r="B1134" s="1">
        <v>44694</v>
      </c>
    </row>
    <row r="1135" spans="1:2" x14ac:dyDescent="0.25">
      <c r="A1135">
        <v>308840</v>
      </c>
      <c r="B1135" s="1">
        <v>44750</v>
      </c>
    </row>
    <row r="1136" spans="1:2" x14ac:dyDescent="0.25">
      <c r="A1136">
        <v>308844</v>
      </c>
      <c r="B1136" s="1">
        <v>44856</v>
      </c>
    </row>
    <row r="1137" spans="1:2" x14ac:dyDescent="0.25">
      <c r="A1137">
        <v>308847</v>
      </c>
      <c r="B1137" s="1">
        <v>44720</v>
      </c>
    </row>
    <row r="1138" spans="1:2" x14ac:dyDescent="0.25">
      <c r="A1138">
        <v>308849</v>
      </c>
      <c r="B1138" s="1">
        <v>44803</v>
      </c>
    </row>
    <row r="1139" spans="1:2" x14ac:dyDescent="0.25">
      <c r="A1139">
        <v>308851</v>
      </c>
      <c r="B1139" s="1">
        <v>44705</v>
      </c>
    </row>
    <row r="1140" spans="1:2" x14ac:dyDescent="0.25">
      <c r="A1140">
        <v>308857</v>
      </c>
      <c r="B1140" s="1">
        <v>44783</v>
      </c>
    </row>
    <row r="1141" spans="1:2" x14ac:dyDescent="0.25">
      <c r="A1141">
        <v>308858</v>
      </c>
      <c r="B1141" s="1">
        <v>44733</v>
      </c>
    </row>
    <row r="1142" spans="1:2" x14ac:dyDescent="0.25">
      <c r="A1142">
        <v>308859</v>
      </c>
      <c r="B1142" s="1">
        <v>44743</v>
      </c>
    </row>
    <row r="1143" spans="1:2" x14ac:dyDescent="0.25">
      <c r="A1143">
        <v>308861</v>
      </c>
      <c r="B1143" s="1">
        <v>44639</v>
      </c>
    </row>
    <row r="1144" spans="1:2" x14ac:dyDescent="0.25">
      <c r="A1144">
        <v>308865</v>
      </c>
      <c r="B1144" s="1">
        <v>44702</v>
      </c>
    </row>
    <row r="1145" spans="1:2" x14ac:dyDescent="0.25">
      <c r="A1145">
        <v>308868</v>
      </c>
      <c r="B1145" s="1">
        <v>44868</v>
      </c>
    </row>
    <row r="1146" spans="1:2" x14ac:dyDescent="0.25">
      <c r="A1146">
        <v>308871</v>
      </c>
      <c r="B1146" s="1">
        <v>44609</v>
      </c>
    </row>
    <row r="1147" spans="1:2" x14ac:dyDescent="0.25">
      <c r="A1147">
        <v>308872</v>
      </c>
      <c r="B1147" s="1">
        <v>44620</v>
      </c>
    </row>
    <row r="1148" spans="1:2" x14ac:dyDescent="0.25">
      <c r="A1148">
        <v>308873</v>
      </c>
      <c r="B1148" s="1">
        <v>44890</v>
      </c>
    </row>
    <row r="1149" spans="1:2" x14ac:dyDescent="0.25">
      <c r="A1149">
        <v>308877</v>
      </c>
      <c r="B1149" s="1">
        <v>44835</v>
      </c>
    </row>
    <row r="1150" spans="1:2" x14ac:dyDescent="0.25">
      <c r="A1150">
        <v>308883</v>
      </c>
      <c r="B1150" s="1">
        <v>44880</v>
      </c>
    </row>
    <row r="1151" spans="1:2" x14ac:dyDescent="0.25">
      <c r="A1151">
        <v>308886</v>
      </c>
      <c r="B1151" s="1">
        <v>44676</v>
      </c>
    </row>
    <row r="1152" spans="1:2" x14ac:dyDescent="0.25">
      <c r="A1152">
        <v>308889</v>
      </c>
      <c r="B1152" s="1">
        <v>44667</v>
      </c>
    </row>
    <row r="1153" spans="1:2" x14ac:dyDescent="0.25">
      <c r="A1153">
        <v>308890</v>
      </c>
      <c r="B1153" s="1">
        <v>44643</v>
      </c>
    </row>
    <row r="1154" spans="1:2" x14ac:dyDescent="0.25">
      <c r="A1154">
        <v>308893</v>
      </c>
      <c r="B1154" s="1">
        <v>44686</v>
      </c>
    </row>
    <row r="1155" spans="1:2" x14ac:dyDescent="0.25">
      <c r="A1155">
        <v>308895</v>
      </c>
      <c r="B1155" s="1">
        <v>44737</v>
      </c>
    </row>
    <row r="1156" spans="1:2" x14ac:dyDescent="0.25">
      <c r="A1156">
        <v>308903</v>
      </c>
      <c r="B1156" s="1">
        <v>44792</v>
      </c>
    </row>
    <row r="1157" spans="1:2" x14ac:dyDescent="0.25">
      <c r="A1157">
        <v>308911</v>
      </c>
      <c r="B1157" s="1">
        <v>44842</v>
      </c>
    </row>
    <row r="1158" spans="1:2" x14ac:dyDescent="0.25">
      <c r="A1158">
        <v>308917</v>
      </c>
      <c r="B1158" s="1">
        <v>44602</v>
      </c>
    </row>
    <row r="1159" spans="1:2" x14ac:dyDescent="0.25">
      <c r="A1159">
        <v>308918</v>
      </c>
      <c r="B1159" s="1">
        <v>44851</v>
      </c>
    </row>
    <row r="1160" spans="1:2" x14ac:dyDescent="0.25">
      <c r="A1160">
        <v>308927</v>
      </c>
      <c r="B1160" s="1">
        <v>44804</v>
      </c>
    </row>
    <row r="1161" spans="1:2" x14ac:dyDescent="0.25">
      <c r="A1161">
        <v>308930</v>
      </c>
      <c r="B1161" s="1">
        <v>44631</v>
      </c>
    </row>
    <row r="1162" spans="1:2" x14ac:dyDescent="0.25">
      <c r="A1162">
        <v>308935</v>
      </c>
      <c r="B1162" s="1">
        <v>44701</v>
      </c>
    </row>
    <row r="1163" spans="1:2" x14ac:dyDescent="0.25">
      <c r="A1163">
        <v>308937</v>
      </c>
      <c r="B1163" s="1">
        <v>44824</v>
      </c>
    </row>
    <row r="1164" spans="1:2" x14ac:dyDescent="0.25">
      <c r="A1164">
        <v>308942</v>
      </c>
      <c r="B1164" s="1">
        <v>44659</v>
      </c>
    </row>
    <row r="1165" spans="1:2" x14ac:dyDescent="0.25">
      <c r="A1165">
        <v>308946</v>
      </c>
      <c r="B1165" s="1">
        <v>44684</v>
      </c>
    </row>
    <row r="1166" spans="1:2" x14ac:dyDescent="0.25">
      <c r="A1166">
        <v>308948</v>
      </c>
      <c r="B1166" s="1">
        <v>44873</v>
      </c>
    </row>
    <row r="1167" spans="1:2" x14ac:dyDescent="0.25">
      <c r="A1167">
        <v>308952</v>
      </c>
      <c r="B1167" s="1">
        <v>44807</v>
      </c>
    </row>
    <row r="1168" spans="1:2" x14ac:dyDescent="0.25">
      <c r="A1168">
        <v>308954</v>
      </c>
      <c r="B1168" s="1">
        <v>44885</v>
      </c>
    </row>
    <row r="1169" spans="1:2" x14ac:dyDescent="0.25">
      <c r="A1169">
        <v>308957</v>
      </c>
      <c r="B1169" s="1">
        <v>44762</v>
      </c>
    </row>
    <row r="1170" spans="1:2" x14ac:dyDescent="0.25">
      <c r="A1170">
        <v>308960</v>
      </c>
      <c r="B1170" s="1">
        <v>44697</v>
      </c>
    </row>
    <row r="1171" spans="1:2" x14ac:dyDescent="0.25">
      <c r="A1171">
        <v>308964</v>
      </c>
      <c r="B1171" s="1">
        <v>44817</v>
      </c>
    </row>
    <row r="1172" spans="1:2" x14ac:dyDescent="0.25">
      <c r="A1172">
        <v>308969</v>
      </c>
      <c r="B1172" s="1">
        <v>44876</v>
      </c>
    </row>
    <row r="1173" spans="1:2" x14ac:dyDescent="0.25">
      <c r="A1173">
        <v>308980</v>
      </c>
      <c r="B1173" s="1">
        <v>44608</v>
      </c>
    </row>
    <row r="1174" spans="1:2" x14ac:dyDescent="0.25">
      <c r="A1174">
        <v>308986</v>
      </c>
      <c r="B1174" s="1">
        <v>44696</v>
      </c>
    </row>
    <row r="1175" spans="1:2" x14ac:dyDescent="0.25">
      <c r="A1175">
        <v>308998</v>
      </c>
      <c r="B1175" s="1">
        <v>44620</v>
      </c>
    </row>
    <row r="1176" spans="1:2" x14ac:dyDescent="0.25">
      <c r="A1176">
        <v>309002</v>
      </c>
      <c r="B1176" s="1">
        <v>44890</v>
      </c>
    </row>
    <row r="1177" spans="1:2" x14ac:dyDescent="0.25">
      <c r="A1177">
        <v>309004</v>
      </c>
      <c r="B1177" s="1">
        <v>44833</v>
      </c>
    </row>
    <row r="1178" spans="1:2" x14ac:dyDescent="0.25">
      <c r="A1178">
        <v>309005</v>
      </c>
      <c r="B1178" s="1">
        <v>44598</v>
      </c>
    </row>
    <row r="1179" spans="1:2" x14ac:dyDescent="0.25">
      <c r="A1179">
        <v>309012</v>
      </c>
      <c r="B1179" s="1">
        <v>44687</v>
      </c>
    </row>
    <row r="1180" spans="1:2" x14ac:dyDescent="0.25">
      <c r="A1180">
        <v>309013</v>
      </c>
      <c r="B1180" s="1">
        <v>44850</v>
      </c>
    </row>
    <row r="1181" spans="1:2" x14ac:dyDescent="0.25">
      <c r="A1181">
        <v>309015</v>
      </c>
      <c r="B1181" s="1">
        <v>44772</v>
      </c>
    </row>
    <row r="1182" spans="1:2" x14ac:dyDescent="0.25">
      <c r="A1182">
        <v>309018</v>
      </c>
      <c r="B1182" s="1">
        <v>44624</v>
      </c>
    </row>
    <row r="1183" spans="1:2" x14ac:dyDescent="0.25">
      <c r="A1183">
        <v>309019</v>
      </c>
      <c r="B1183" s="1">
        <v>44835</v>
      </c>
    </row>
    <row r="1184" spans="1:2" x14ac:dyDescent="0.25">
      <c r="A1184">
        <v>309020</v>
      </c>
      <c r="B1184" s="1">
        <v>44869</v>
      </c>
    </row>
    <row r="1185" spans="1:2" x14ac:dyDescent="0.25">
      <c r="A1185">
        <v>309021</v>
      </c>
      <c r="B1185" s="1">
        <v>44758</v>
      </c>
    </row>
    <row r="1186" spans="1:2" x14ac:dyDescent="0.25">
      <c r="A1186">
        <v>309023</v>
      </c>
      <c r="B1186" s="1">
        <v>44760</v>
      </c>
    </row>
    <row r="1187" spans="1:2" x14ac:dyDescent="0.25">
      <c r="A1187">
        <v>309026</v>
      </c>
      <c r="B1187" s="1">
        <v>44846</v>
      </c>
    </row>
    <row r="1188" spans="1:2" x14ac:dyDescent="0.25">
      <c r="A1188">
        <v>309031</v>
      </c>
      <c r="B1188" s="1">
        <v>44767</v>
      </c>
    </row>
    <row r="1189" spans="1:2" x14ac:dyDescent="0.25">
      <c r="A1189">
        <v>309036</v>
      </c>
      <c r="B1189" s="1">
        <v>44726</v>
      </c>
    </row>
    <row r="1190" spans="1:2" x14ac:dyDescent="0.25">
      <c r="A1190">
        <v>309041</v>
      </c>
      <c r="B1190" s="1">
        <v>44826</v>
      </c>
    </row>
    <row r="1191" spans="1:2" x14ac:dyDescent="0.25">
      <c r="A1191">
        <v>309057</v>
      </c>
      <c r="B1191" s="1">
        <v>44613</v>
      </c>
    </row>
    <row r="1192" spans="1:2" x14ac:dyDescent="0.25">
      <c r="A1192">
        <v>309062</v>
      </c>
      <c r="B1192" s="1">
        <v>44840</v>
      </c>
    </row>
    <row r="1193" spans="1:2" x14ac:dyDescent="0.25">
      <c r="A1193">
        <v>309063</v>
      </c>
      <c r="B1193" s="1">
        <v>44622</v>
      </c>
    </row>
    <row r="1194" spans="1:2" x14ac:dyDescent="0.25">
      <c r="A1194">
        <v>309065</v>
      </c>
      <c r="B1194" s="1">
        <v>44663</v>
      </c>
    </row>
    <row r="1195" spans="1:2" x14ac:dyDescent="0.25">
      <c r="A1195">
        <v>309070</v>
      </c>
      <c r="B1195" s="1">
        <v>44632</v>
      </c>
    </row>
    <row r="1196" spans="1:2" x14ac:dyDescent="0.25">
      <c r="A1196">
        <v>309071</v>
      </c>
      <c r="B1196" s="1">
        <v>44780</v>
      </c>
    </row>
    <row r="1197" spans="1:2" x14ac:dyDescent="0.25">
      <c r="A1197">
        <v>309075</v>
      </c>
      <c r="B1197" s="1">
        <v>44793</v>
      </c>
    </row>
    <row r="1198" spans="1:2" x14ac:dyDescent="0.25">
      <c r="A1198">
        <v>309082</v>
      </c>
      <c r="B1198" s="1">
        <v>44772</v>
      </c>
    </row>
    <row r="1199" spans="1:2" x14ac:dyDescent="0.25">
      <c r="A1199">
        <v>309086</v>
      </c>
      <c r="B1199" s="1">
        <v>44718</v>
      </c>
    </row>
    <row r="1200" spans="1:2" x14ac:dyDescent="0.25">
      <c r="A1200">
        <v>309089</v>
      </c>
      <c r="B1200" s="1">
        <v>44640</v>
      </c>
    </row>
    <row r="1201" spans="1:2" x14ac:dyDescent="0.25">
      <c r="A1201">
        <v>309095</v>
      </c>
      <c r="B1201" s="1">
        <v>44798</v>
      </c>
    </row>
    <row r="1202" spans="1:2" x14ac:dyDescent="0.25">
      <c r="A1202">
        <v>309096</v>
      </c>
      <c r="B1202" s="1">
        <v>44607</v>
      </c>
    </row>
    <row r="1203" spans="1:2" x14ac:dyDescent="0.25">
      <c r="A1203">
        <v>309100</v>
      </c>
      <c r="B1203" s="1">
        <v>44827</v>
      </c>
    </row>
    <row r="1204" spans="1:2" x14ac:dyDescent="0.25">
      <c r="A1204">
        <v>309109</v>
      </c>
      <c r="B1204" s="1">
        <v>44635</v>
      </c>
    </row>
    <row r="1205" spans="1:2" x14ac:dyDescent="0.25">
      <c r="A1205">
        <v>309110</v>
      </c>
      <c r="B1205" s="1">
        <v>44661</v>
      </c>
    </row>
    <row r="1206" spans="1:2" x14ac:dyDescent="0.25">
      <c r="A1206">
        <v>309113</v>
      </c>
      <c r="B1206" s="1">
        <v>44764</v>
      </c>
    </row>
    <row r="1207" spans="1:2" x14ac:dyDescent="0.25">
      <c r="A1207">
        <v>309118</v>
      </c>
      <c r="B1207" s="1">
        <v>44871</v>
      </c>
    </row>
    <row r="1208" spans="1:2" x14ac:dyDescent="0.25">
      <c r="A1208">
        <v>309120</v>
      </c>
      <c r="B1208" s="1">
        <v>44688</v>
      </c>
    </row>
    <row r="1209" spans="1:2" x14ac:dyDescent="0.25">
      <c r="A1209">
        <v>307001</v>
      </c>
      <c r="B1209" s="1">
        <v>44894</v>
      </c>
    </row>
    <row r="1210" spans="1:2" x14ac:dyDescent="0.25">
      <c r="A1210">
        <v>307002</v>
      </c>
      <c r="B1210" s="1">
        <v>44905</v>
      </c>
    </row>
    <row r="1211" spans="1:2" x14ac:dyDescent="0.25">
      <c r="A1211">
        <v>307013</v>
      </c>
      <c r="B1211" s="1">
        <v>44626</v>
      </c>
    </row>
    <row r="1212" spans="1:2" x14ac:dyDescent="0.25">
      <c r="A1212">
        <v>307014</v>
      </c>
      <c r="B1212" s="1">
        <v>44669</v>
      </c>
    </row>
    <row r="1213" spans="1:2" x14ac:dyDescent="0.25">
      <c r="A1213">
        <v>307022</v>
      </c>
      <c r="B1213" s="1">
        <v>44743</v>
      </c>
    </row>
    <row r="1214" spans="1:2" x14ac:dyDescent="0.25">
      <c r="A1214">
        <v>307030</v>
      </c>
      <c r="B1214" s="1">
        <v>44670</v>
      </c>
    </row>
    <row r="1215" spans="1:2" x14ac:dyDescent="0.25">
      <c r="A1215">
        <v>307031</v>
      </c>
      <c r="B1215" s="1">
        <v>44919</v>
      </c>
    </row>
    <row r="1216" spans="1:2" x14ac:dyDescent="0.25">
      <c r="A1216">
        <v>307033</v>
      </c>
      <c r="B1216" s="1">
        <v>44736</v>
      </c>
    </row>
    <row r="1217" spans="1:2" x14ac:dyDescent="0.25">
      <c r="A1217">
        <v>307044</v>
      </c>
      <c r="B1217" s="1">
        <v>44839</v>
      </c>
    </row>
    <row r="1218" spans="1:2" x14ac:dyDescent="0.25">
      <c r="A1218">
        <v>307050</v>
      </c>
      <c r="B1218" s="1">
        <v>44625</v>
      </c>
    </row>
    <row r="1219" spans="1:2" x14ac:dyDescent="0.25">
      <c r="A1219">
        <v>307060</v>
      </c>
      <c r="B1219" s="1">
        <v>44829</v>
      </c>
    </row>
    <row r="1220" spans="1:2" x14ac:dyDescent="0.25">
      <c r="A1220">
        <v>307081</v>
      </c>
      <c r="B1220" s="1">
        <v>44850</v>
      </c>
    </row>
    <row r="1221" spans="1:2" x14ac:dyDescent="0.25">
      <c r="A1221">
        <v>307083</v>
      </c>
      <c r="B1221" s="1">
        <v>44765</v>
      </c>
    </row>
    <row r="1222" spans="1:2" x14ac:dyDescent="0.25">
      <c r="A1222">
        <v>307086</v>
      </c>
      <c r="B1222" s="1">
        <v>44885</v>
      </c>
    </row>
    <row r="1223" spans="1:2" x14ac:dyDescent="0.25">
      <c r="A1223">
        <v>307091</v>
      </c>
      <c r="B1223" s="1">
        <v>44848</v>
      </c>
    </row>
    <row r="1224" spans="1:2" x14ac:dyDescent="0.25">
      <c r="A1224">
        <v>307094</v>
      </c>
      <c r="B1224" s="1">
        <v>44677</v>
      </c>
    </row>
    <row r="1225" spans="1:2" x14ac:dyDescent="0.25">
      <c r="A1225">
        <v>307095</v>
      </c>
      <c r="B1225" s="1">
        <v>44821</v>
      </c>
    </row>
    <row r="1226" spans="1:2" x14ac:dyDescent="0.25">
      <c r="A1226">
        <v>307101</v>
      </c>
      <c r="B1226" s="1">
        <v>44776</v>
      </c>
    </row>
    <row r="1227" spans="1:2" x14ac:dyDescent="0.25">
      <c r="A1227">
        <v>307124</v>
      </c>
      <c r="B1227" s="1">
        <v>44675</v>
      </c>
    </row>
    <row r="1228" spans="1:2" x14ac:dyDescent="0.25">
      <c r="A1228">
        <v>307131</v>
      </c>
      <c r="B1228" s="1">
        <v>44862</v>
      </c>
    </row>
    <row r="1229" spans="1:2" x14ac:dyDescent="0.25">
      <c r="A1229">
        <v>307143</v>
      </c>
      <c r="B1229" s="1">
        <v>44866</v>
      </c>
    </row>
    <row r="1230" spans="1:2" x14ac:dyDescent="0.25">
      <c r="A1230">
        <v>307149</v>
      </c>
      <c r="B1230" s="1">
        <v>44812</v>
      </c>
    </row>
    <row r="1231" spans="1:2" x14ac:dyDescent="0.25">
      <c r="A1231">
        <v>307153</v>
      </c>
      <c r="B1231" s="1">
        <v>44687</v>
      </c>
    </row>
    <row r="1232" spans="1:2" x14ac:dyDescent="0.25">
      <c r="A1232">
        <v>307154</v>
      </c>
      <c r="B1232" s="1">
        <v>44808</v>
      </c>
    </row>
    <row r="1233" spans="1:2" x14ac:dyDescent="0.25">
      <c r="A1233">
        <v>307159</v>
      </c>
      <c r="B1233" s="1">
        <v>44625</v>
      </c>
    </row>
    <row r="1234" spans="1:2" x14ac:dyDescent="0.25">
      <c r="A1234">
        <v>307161</v>
      </c>
      <c r="B1234" s="1">
        <v>44691</v>
      </c>
    </row>
    <row r="1235" spans="1:2" x14ac:dyDescent="0.25">
      <c r="A1235">
        <v>307166</v>
      </c>
      <c r="B1235" s="1">
        <v>44849</v>
      </c>
    </row>
    <row r="1236" spans="1:2" x14ac:dyDescent="0.25">
      <c r="A1236">
        <v>307169</v>
      </c>
      <c r="B1236" s="1">
        <v>44637</v>
      </c>
    </row>
    <row r="1237" spans="1:2" x14ac:dyDescent="0.25">
      <c r="A1237">
        <v>307183</v>
      </c>
      <c r="B1237" s="1">
        <v>44636</v>
      </c>
    </row>
    <row r="1238" spans="1:2" x14ac:dyDescent="0.25">
      <c r="A1238">
        <v>307190</v>
      </c>
      <c r="B1238" s="1">
        <v>44641</v>
      </c>
    </row>
    <row r="1239" spans="1:2" x14ac:dyDescent="0.25">
      <c r="A1239">
        <v>307192</v>
      </c>
      <c r="B1239" s="1">
        <v>44655</v>
      </c>
    </row>
    <row r="1240" spans="1:2" x14ac:dyDescent="0.25">
      <c r="A1240">
        <v>307200</v>
      </c>
      <c r="B1240" s="1">
        <v>44684</v>
      </c>
    </row>
    <row r="1241" spans="1:2" x14ac:dyDescent="0.25">
      <c r="A1241">
        <v>307216</v>
      </c>
      <c r="B1241" s="1">
        <v>44627</v>
      </c>
    </row>
    <row r="1242" spans="1:2" x14ac:dyDescent="0.25">
      <c r="A1242">
        <v>307217</v>
      </c>
      <c r="B1242" s="1">
        <v>44662</v>
      </c>
    </row>
    <row r="1243" spans="1:2" x14ac:dyDescent="0.25">
      <c r="A1243">
        <v>307219</v>
      </c>
      <c r="B1243" s="1">
        <v>44809</v>
      </c>
    </row>
    <row r="1244" spans="1:2" x14ac:dyDescent="0.25">
      <c r="A1244">
        <v>307226</v>
      </c>
      <c r="B1244" s="1">
        <v>44768</v>
      </c>
    </row>
    <row r="1245" spans="1:2" x14ac:dyDescent="0.25">
      <c r="A1245">
        <v>307227</v>
      </c>
      <c r="B1245" s="1">
        <v>44665</v>
      </c>
    </row>
    <row r="1246" spans="1:2" x14ac:dyDescent="0.25">
      <c r="A1246">
        <v>307231</v>
      </c>
      <c r="B1246" s="1">
        <v>44721</v>
      </c>
    </row>
    <row r="1247" spans="1:2" x14ac:dyDescent="0.25">
      <c r="A1247">
        <v>307237</v>
      </c>
      <c r="B1247" s="1">
        <v>44705</v>
      </c>
    </row>
    <row r="1248" spans="1:2" x14ac:dyDescent="0.25">
      <c r="A1248">
        <v>307239</v>
      </c>
      <c r="B1248" s="1">
        <v>44637</v>
      </c>
    </row>
    <row r="1249" spans="1:2" x14ac:dyDescent="0.25">
      <c r="A1249">
        <v>307245</v>
      </c>
      <c r="B1249" s="1">
        <v>44728</v>
      </c>
    </row>
    <row r="1250" spans="1:2" x14ac:dyDescent="0.25">
      <c r="A1250">
        <v>307252</v>
      </c>
      <c r="B1250" s="1">
        <v>44638</v>
      </c>
    </row>
    <row r="1251" spans="1:2" x14ac:dyDescent="0.25">
      <c r="A1251">
        <v>307260</v>
      </c>
      <c r="B1251" s="1">
        <v>44700</v>
      </c>
    </row>
    <row r="1252" spans="1:2" x14ac:dyDescent="0.25">
      <c r="A1252">
        <v>307261</v>
      </c>
      <c r="B1252" s="1">
        <v>44721</v>
      </c>
    </row>
    <row r="1253" spans="1:2" x14ac:dyDescent="0.25">
      <c r="A1253">
        <v>307271</v>
      </c>
      <c r="B1253" s="1">
        <v>44909</v>
      </c>
    </row>
    <row r="1254" spans="1:2" x14ac:dyDescent="0.25">
      <c r="A1254">
        <v>307276</v>
      </c>
      <c r="B1254" s="1">
        <v>44797</v>
      </c>
    </row>
    <row r="1255" spans="1:2" x14ac:dyDescent="0.25">
      <c r="A1255">
        <v>307281</v>
      </c>
      <c r="B1255" s="1">
        <v>44805</v>
      </c>
    </row>
    <row r="1256" spans="1:2" x14ac:dyDescent="0.25">
      <c r="A1256">
        <v>307284</v>
      </c>
      <c r="B1256" s="1">
        <v>44797</v>
      </c>
    </row>
    <row r="1257" spans="1:2" x14ac:dyDescent="0.25">
      <c r="A1257">
        <v>307289</v>
      </c>
      <c r="B1257" s="1">
        <v>44847</v>
      </c>
    </row>
    <row r="1258" spans="1:2" x14ac:dyDescent="0.25">
      <c r="A1258">
        <v>307299</v>
      </c>
      <c r="B1258" s="1">
        <v>44779</v>
      </c>
    </row>
    <row r="1259" spans="1:2" x14ac:dyDescent="0.25">
      <c r="A1259">
        <v>307304</v>
      </c>
      <c r="B1259" s="1">
        <v>44856</v>
      </c>
    </row>
    <row r="1260" spans="1:2" x14ac:dyDescent="0.25">
      <c r="A1260">
        <v>307308</v>
      </c>
      <c r="B1260" s="1">
        <v>44688</v>
      </c>
    </row>
    <row r="1261" spans="1:2" x14ac:dyDescent="0.25">
      <c r="A1261">
        <v>307309</v>
      </c>
      <c r="B1261" s="1">
        <v>44869</v>
      </c>
    </row>
    <row r="1262" spans="1:2" x14ac:dyDescent="0.25">
      <c r="A1262">
        <v>307313</v>
      </c>
      <c r="B1262" s="1">
        <v>44779</v>
      </c>
    </row>
    <row r="1263" spans="1:2" x14ac:dyDescent="0.25">
      <c r="A1263">
        <v>307316</v>
      </c>
      <c r="B1263" s="1">
        <v>44906</v>
      </c>
    </row>
    <row r="1264" spans="1:2" x14ac:dyDescent="0.25">
      <c r="A1264">
        <v>307328</v>
      </c>
      <c r="B1264" s="1">
        <v>44759</v>
      </c>
    </row>
    <row r="1265" spans="1:2" x14ac:dyDescent="0.25">
      <c r="A1265">
        <v>307331</v>
      </c>
      <c r="B1265" s="1">
        <v>44824</v>
      </c>
    </row>
    <row r="1266" spans="1:2" x14ac:dyDescent="0.25">
      <c r="A1266">
        <v>307336</v>
      </c>
      <c r="B1266" s="1">
        <v>44629</v>
      </c>
    </row>
    <row r="1267" spans="1:2" x14ac:dyDescent="0.25">
      <c r="A1267">
        <v>307356</v>
      </c>
      <c r="B1267" s="1">
        <v>44693</v>
      </c>
    </row>
    <row r="1268" spans="1:2" x14ac:dyDescent="0.25">
      <c r="A1268">
        <v>307357</v>
      </c>
      <c r="B1268" s="1">
        <v>44676</v>
      </c>
    </row>
    <row r="1269" spans="1:2" x14ac:dyDescent="0.25">
      <c r="A1269">
        <v>307363</v>
      </c>
      <c r="B1269" s="1">
        <v>44803</v>
      </c>
    </row>
    <row r="1270" spans="1:2" x14ac:dyDescent="0.25">
      <c r="A1270">
        <v>307365</v>
      </c>
      <c r="B1270" s="1">
        <v>44806</v>
      </c>
    </row>
    <row r="1271" spans="1:2" x14ac:dyDescent="0.25">
      <c r="A1271">
        <v>307378</v>
      </c>
      <c r="B1271" s="1">
        <v>44696</v>
      </c>
    </row>
    <row r="1272" spans="1:2" x14ac:dyDescent="0.25">
      <c r="A1272">
        <v>307381</v>
      </c>
      <c r="B1272" s="1">
        <v>44671</v>
      </c>
    </row>
    <row r="1273" spans="1:2" x14ac:dyDescent="0.25">
      <c r="A1273">
        <v>307385</v>
      </c>
      <c r="B1273" s="1">
        <v>44925</v>
      </c>
    </row>
    <row r="1274" spans="1:2" x14ac:dyDescent="0.25">
      <c r="A1274">
        <v>307390</v>
      </c>
      <c r="B1274" s="1">
        <v>44918</v>
      </c>
    </row>
    <row r="1275" spans="1:2" x14ac:dyDescent="0.25">
      <c r="A1275">
        <v>307403</v>
      </c>
      <c r="B1275" s="1">
        <v>44745</v>
      </c>
    </row>
    <row r="1276" spans="1:2" x14ac:dyDescent="0.25">
      <c r="A1276">
        <v>307407</v>
      </c>
      <c r="B1276" s="1">
        <v>44718</v>
      </c>
    </row>
    <row r="1277" spans="1:2" x14ac:dyDescent="0.25">
      <c r="A1277">
        <v>307412</v>
      </c>
      <c r="B1277" s="1">
        <v>44902</v>
      </c>
    </row>
    <row r="1278" spans="1:2" x14ac:dyDescent="0.25">
      <c r="A1278">
        <v>307421</v>
      </c>
      <c r="B1278" s="1">
        <v>44749</v>
      </c>
    </row>
    <row r="1279" spans="1:2" x14ac:dyDescent="0.25">
      <c r="A1279">
        <v>307444</v>
      </c>
      <c r="B1279" s="1">
        <v>44684</v>
      </c>
    </row>
    <row r="1280" spans="1:2" x14ac:dyDescent="0.25">
      <c r="A1280">
        <v>307449</v>
      </c>
      <c r="B1280" s="1">
        <v>44655</v>
      </c>
    </row>
    <row r="1281" spans="1:2" x14ac:dyDescent="0.25">
      <c r="A1281">
        <v>307459</v>
      </c>
      <c r="B1281" s="1">
        <v>44755</v>
      </c>
    </row>
    <row r="1282" spans="1:2" x14ac:dyDescent="0.25">
      <c r="A1282">
        <v>307463</v>
      </c>
      <c r="B1282" s="1">
        <v>44709</v>
      </c>
    </row>
    <row r="1283" spans="1:2" x14ac:dyDescent="0.25">
      <c r="A1283">
        <v>307467</v>
      </c>
      <c r="B1283" s="1">
        <v>44654</v>
      </c>
    </row>
    <row r="1284" spans="1:2" x14ac:dyDescent="0.25">
      <c r="A1284">
        <v>307472</v>
      </c>
      <c r="B1284" s="1">
        <v>44821</v>
      </c>
    </row>
    <row r="1285" spans="1:2" x14ac:dyDescent="0.25">
      <c r="A1285">
        <v>307476</v>
      </c>
      <c r="B1285" s="1">
        <v>44800</v>
      </c>
    </row>
    <row r="1286" spans="1:2" x14ac:dyDescent="0.25">
      <c r="A1286">
        <v>307479</v>
      </c>
      <c r="B1286" s="1">
        <v>44806</v>
      </c>
    </row>
    <row r="1287" spans="1:2" x14ac:dyDescent="0.25">
      <c r="A1287">
        <v>307482</v>
      </c>
      <c r="B1287" s="1">
        <v>44912</v>
      </c>
    </row>
    <row r="1288" spans="1:2" x14ac:dyDescent="0.25">
      <c r="A1288">
        <v>307483</v>
      </c>
      <c r="B1288" s="1">
        <v>44813</v>
      </c>
    </row>
    <row r="1289" spans="1:2" x14ac:dyDescent="0.25">
      <c r="A1289">
        <v>307486</v>
      </c>
      <c r="B1289" s="1">
        <v>44904</v>
      </c>
    </row>
    <row r="1290" spans="1:2" x14ac:dyDescent="0.25">
      <c r="A1290">
        <v>307491</v>
      </c>
      <c r="B1290" s="1">
        <v>44782</v>
      </c>
    </row>
    <row r="1291" spans="1:2" x14ac:dyDescent="0.25">
      <c r="A1291">
        <v>307505</v>
      </c>
      <c r="B1291" s="1">
        <v>44644</v>
      </c>
    </row>
    <row r="1292" spans="1:2" x14ac:dyDescent="0.25">
      <c r="A1292">
        <v>307513</v>
      </c>
      <c r="B1292" s="1">
        <v>44895</v>
      </c>
    </row>
    <row r="1293" spans="1:2" x14ac:dyDescent="0.25">
      <c r="A1293">
        <v>307517</v>
      </c>
      <c r="B1293" s="1">
        <v>44848</v>
      </c>
    </row>
    <row r="1294" spans="1:2" x14ac:dyDescent="0.25">
      <c r="A1294">
        <v>307523</v>
      </c>
      <c r="B1294" s="1">
        <v>44831</v>
      </c>
    </row>
    <row r="1295" spans="1:2" x14ac:dyDescent="0.25">
      <c r="A1295">
        <v>307525</v>
      </c>
      <c r="B1295" s="1">
        <v>44900</v>
      </c>
    </row>
    <row r="1296" spans="1:2" x14ac:dyDescent="0.25">
      <c r="A1296">
        <v>307526</v>
      </c>
      <c r="B1296" s="1">
        <v>44846</v>
      </c>
    </row>
    <row r="1297" spans="1:2" x14ac:dyDescent="0.25">
      <c r="A1297">
        <v>307529</v>
      </c>
      <c r="B1297" s="1">
        <v>44889</v>
      </c>
    </row>
    <row r="1298" spans="1:2" x14ac:dyDescent="0.25">
      <c r="A1298">
        <v>307531</v>
      </c>
      <c r="B1298" s="1">
        <v>44850</v>
      </c>
    </row>
    <row r="1299" spans="1:2" x14ac:dyDescent="0.25">
      <c r="A1299">
        <v>307532</v>
      </c>
      <c r="B1299" s="1">
        <v>44698</v>
      </c>
    </row>
    <row r="1300" spans="1:2" x14ac:dyDescent="0.25">
      <c r="A1300">
        <v>307537</v>
      </c>
      <c r="B1300" s="1">
        <v>44728</v>
      </c>
    </row>
    <row r="1301" spans="1:2" x14ac:dyDescent="0.25">
      <c r="A1301">
        <v>307540</v>
      </c>
      <c r="B1301" s="1">
        <v>44867</v>
      </c>
    </row>
    <row r="1302" spans="1:2" x14ac:dyDescent="0.25">
      <c r="A1302">
        <v>307545</v>
      </c>
      <c r="B1302" s="1">
        <v>44856</v>
      </c>
    </row>
    <row r="1303" spans="1:2" x14ac:dyDescent="0.25">
      <c r="A1303">
        <v>307561</v>
      </c>
      <c r="B1303" s="1">
        <v>44676</v>
      </c>
    </row>
    <row r="1304" spans="1:2" x14ac:dyDescent="0.25">
      <c r="A1304">
        <v>307562</v>
      </c>
      <c r="B1304" s="1">
        <v>44847</v>
      </c>
    </row>
    <row r="1305" spans="1:2" x14ac:dyDescent="0.25">
      <c r="A1305">
        <v>307563</v>
      </c>
      <c r="B1305" s="1">
        <v>44637</v>
      </c>
    </row>
    <row r="1306" spans="1:2" x14ac:dyDescent="0.25">
      <c r="A1306">
        <v>307581</v>
      </c>
      <c r="B1306" s="1">
        <v>44684</v>
      </c>
    </row>
    <row r="1307" spans="1:2" x14ac:dyDescent="0.25">
      <c r="A1307">
        <v>307582</v>
      </c>
      <c r="B1307" s="1">
        <v>44774</v>
      </c>
    </row>
    <row r="1308" spans="1:2" x14ac:dyDescent="0.25">
      <c r="A1308">
        <v>307587</v>
      </c>
      <c r="B1308" s="1">
        <v>44636</v>
      </c>
    </row>
    <row r="1309" spans="1:2" x14ac:dyDescent="0.25">
      <c r="A1309">
        <v>307596</v>
      </c>
      <c r="B1309" s="1">
        <v>44790</v>
      </c>
    </row>
    <row r="1310" spans="1:2" x14ac:dyDescent="0.25">
      <c r="A1310">
        <v>307601</v>
      </c>
      <c r="B1310" s="1">
        <v>44824</v>
      </c>
    </row>
    <row r="1311" spans="1:2" x14ac:dyDescent="0.25">
      <c r="A1311">
        <v>307611</v>
      </c>
      <c r="B1311" s="1">
        <v>44873</v>
      </c>
    </row>
    <row r="1312" spans="1:2" x14ac:dyDescent="0.25">
      <c r="A1312">
        <v>307613</v>
      </c>
      <c r="B1312" s="1">
        <v>44676</v>
      </c>
    </row>
    <row r="1313" spans="1:2" x14ac:dyDescent="0.25">
      <c r="A1313">
        <v>307614</v>
      </c>
      <c r="B1313" s="1">
        <v>44843</v>
      </c>
    </row>
    <row r="1314" spans="1:2" x14ac:dyDescent="0.25">
      <c r="A1314">
        <v>307621</v>
      </c>
      <c r="B1314" s="1">
        <v>44749</v>
      </c>
    </row>
    <row r="1315" spans="1:2" x14ac:dyDescent="0.25">
      <c r="A1315">
        <v>307633</v>
      </c>
      <c r="B1315" s="1">
        <v>44660</v>
      </c>
    </row>
    <row r="1316" spans="1:2" x14ac:dyDescent="0.25">
      <c r="A1316">
        <v>307650</v>
      </c>
      <c r="B1316" s="1">
        <v>44866</v>
      </c>
    </row>
    <row r="1317" spans="1:2" x14ac:dyDescent="0.25">
      <c r="A1317">
        <v>307657</v>
      </c>
      <c r="B1317" s="1">
        <v>44741</v>
      </c>
    </row>
    <row r="1318" spans="1:2" x14ac:dyDescent="0.25">
      <c r="A1318">
        <v>307669</v>
      </c>
      <c r="B1318" s="1">
        <v>44803</v>
      </c>
    </row>
    <row r="1319" spans="1:2" x14ac:dyDescent="0.25">
      <c r="A1319">
        <v>307679</v>
      </c>
      <c r="B1319" s="1">
        <v>44902</v>
      </c>
    </row>
    <row r="1320" spans="1:2" x14ac:dyDescent="0.25">
      <c r="A1320">
        <v>307683</v>
      </c>
      <c r="B1320" s="1">
        <v>44816</v>
      </c>
    </row>
    <row r="1321" spans="1:2" x14ac:dyDescent="0.25">
      <c r="A1321">
        <v>307696</v>
      </c>
      <c r="B1321" s="1">
        <v>44703</v>
      </c>
    </row>
    <row r="1322" spans="1:2" x14ac:dyDescent="0.25">
      <c r="A1322">
        <v>307703</v>
      </c>
      <c r="B1322" s="1">
        <v>44871</v>
      </c>
    </row>
    <row r="1323" spans="1:2" x14ac:dyDescent="0.25">
      <c r="A1323">
        <v>307714</v>
      </c>
      <c r="B1323" s="1">
        <v>44869</v>
      </c>
    </row>
    <row r="1324" spans="1:2" x14ac:dyDescent="0.25">
      <c r="A1324">
        <v>307721</v>
      </c>
      <c r="B1324" s="1">
        <v>44632</v>
      </c>
    </row>
    <row r="1325" spans="1:2" x14ac:dyDescent="0.25">
      <c r="A1325">
        <v>307723</v>
      </c>
      <c r="B1325" s="1">
        <v>44708</v>
      </c>
    </row>
    <row r="1326" spans="1:2" x14ac:dyDescent="0.25">
      <c r="A1326">
        <v>307724</v>
      </c>
      <c r="B1326" s="1">
        <v>44819</v>
      </c>
    </row>
    <row r="1327" spans="1:2" x14ac:dyDescent="0.25">
      <c r="A1327">
        <v>307728</v>
      </c>
      <c r="B1327" s="1">
        <v>44662</v>
      </c>
    </row>
    <row r="1328" spans="1:2" x14ac:dyDescent="0.25">
      <c r="A1328">
        <v>307732</v>
      </c>
      <c r="B1328" s="1">
        <v>44824</v>
      </c>
    </row>
    <row r="1329" spans="1:2" x14ac:dyDescent="0.25">
      <c r="A1329">
        <v>307749</v>
      </c>
      <c r="B1329" s="1">
        <v>44882</v>
      </c>
    </row>
    <row r="1330" spans="1:2" x14ac:dyDescent="0.25">
      <c r="A1330">
        <v>307751</v>
      </c>
      <c r="B1330" s="1">
        <v>44805</v>
      </c>
    </row>
    <row r="1331" spans="1:2" x14ac:dyDescent="0.25">
      <c r="A1331">
        <v>307763</v>
      </c>
      <c r="B1331" s="1">
        <v>44885</v>
      </c>
    </row>
    <row r="1332" spans="1:2" x14ac:dyDescent="0.25">
      <c r="A1332">
        <v>307764</v>
      </c>
      <c r="B1332" s="1">
        <v>44692</v>
      </c>
    </row>
    <row r="1333" spans="1:2" x14ac:dyDescent="0.25">
      <c r="A1333">
        <v>307772</v>
      </c>
      <c r="B1333" s="1">
        <v>44655</v>
      </c>
    </row>
    <row r="1334" spans="1:2" x14ac:dyDescent="0.25">
      <c r="A1334">
        <v>307774</v>
      </c>
      <c r="B1334" s="1">
        <v>44696</v>
      </c>
    </row>
    <row r="1335" spans="1:2" x14ac:dyDescent="0.25">
      <c r="A1335">
        <v>307782</v>
      </c>
      <c r="B1335" s="1">
        <v>44671</v>
      </c>
    </row>
    <row r="1336" spans="1:2" x14ac:dyDescent="0.25">
      <c r="A1336">
        <v>307792</v>
      </c>
      <c r="B1336" s="1">
        <v>44688</v>
      </c>
    </row>
    <row r="1337" spans="1:2" x14ac:dyDescent="0.25">
      <c r="A1337">
        <v>307803</v>
      </c>
      <c r="B1337" s="1">
        <v>44843</v>
      </c>
    </row>
    <row r="1338" spans="1:2" x14ac:dyDescent="0.25">
      <c r="A1338">
        <v>307834</v>
      </c>
      <c r="B1338" s="1">
        <v>44623</v>
      </c>
    </row>
    <row r="1339" spans="1:2" x14ac:dyDescent="0.25">
      <c r="A1339">
        <v>307837</v>
      </c>
      <c r="B1339" s="1">
        <v>44920</v>
      </c>
    </row>
    <row r="1340" spans="1:2" x14ac:dyDescent="0.25">
      <c r="A1340">
        <v>307838</v>
      </c>
      <c r="B1340" s="1">
        <v>44700</v>
      </c>
    </row>
    <row r="1341" spans="1:2" x14ac:dyDescent="0.25">
      <c r="A1341">
        <v>307843</v>
      </c>
      <c r="B1341" s="1">
        <v>44634</v>
      </c>
    </row>
    <row r="1342" spans="1:2" x14ac:dyDescent="0.25">
      <c r="A1342">
        <v>307873</v>
      </c>
      <c r="B1342" s="1">
        <v>44754</v>
      </c>
    </row>
    <row r="1343" spans="1:2" x14ac:dyDescent="0.25">
      <c r="A1343">
        <v>307876</v>
      </c>
      <c r="B1343" s="1">
        <v>44709</v>
      </c>
    </row>
    <row r="1344" spans="1:2" x14ac:dyDescent="0.25">
      <c r="A1344">
        <v>307881</v>
      </c>
      <c r="B1344" s="1">
        <v>44861</v>
      </c>
    </row>
    <row r="1345" spans="1:2" x14ac:dyDescent="0.25">
      <c r="A1345">
        <v>307891</v>
      </c>
      <c r="B1345" s="1">
        <v>44638</v>
      </c>
    </row>
    <row r="1346" spans="1:2" x14ac:dyDescent="0.25">
      <c r="A1346">
        <v>307897</v>
      </c>
      <c r="B1346" s="1">
        <v>44652</v>
      </c>
    </row>
    <row r="1347" spans="1:2" x14ac:dyDescent="0.25">
      <c r="A1347">
        <v>307901</v>
      </c>
      <c r="B1347" s="1">
        <v>44693</v>
      </c>
    </row>
    <row r="1348" spans="1:2" x14ac:dyDescent="0.25">
      <c r="A1348">
        <v>307911</v>
      </c>
      <c r="B1348" s="1">
        <v>44634</v>
      </c>
    </row>
    <row r="1349" spans="1:2" x14ac:dyDescent="0.25">
      <c r="A1349">
        <v>307915</v>
      </c>
      <c r="B1349" s="1">
        <v>44864</v>
      </c>
    </row>
    <row r="1350" spans="1:2" x14ac:dyDescent="0.25">
      <c r="A1350">
        <v>307916</v>
      </c>
      <c r="B1350" s="1">
        <v>44791</v>
      </c>
    </row>
    <row r="1351" spans="1:2" x14ac:dyDescent="0.25">
      <c r="A1351">
        <v>307920</v>
      </c>
      <c r="B1351" s="1">
        <v>44725</v>
      </c>
    </row>
    <row r="1352" spans="1:2" x14ac:dyDescent="0.25">
      <c r="A1352">
        <v>307928</v>
      </c>
      <c r="B1352" s="1">
        <v>44666</v>
      </c>
    </row>
    <row r="1353" spans="1:2" x14ac:dyDescent="0.25">
      <c r="A1353">
        <v>307932</v>
      </c>
      <c r="B1353" s="1">
        <v>44785</v>
      </c>
    </row>
    <row r="1354" spans="1:2" x14ac:dyDescent="0.25">
      <c r="A1354">
        <v>307941</v>
      </c>
      <c r="B1354" s="1">
        <v>44922</v>
      </c>
    </row>
    <row r="1355" spans="1:2" x14ac:dyDescent="0.25">
      <c r="A1355">
        <v>307946</v>
      </c>
      <c r="B1355" s="1">
        <v>44886</v>
      </c>
    </row>
    <row r="1356" spans="1:2" x14ac:dyDescent="0.25">
      <c r="A1356">
        <v>307949</v>
      </c>
      <c r="B1356" s="1">
        <v>44820</v>
      </c>
    </row>
    <row r="1357" spans="1:2" x14ac:dyDescent="0.25">
      <c r="A1357">
        <v>307954</v>
      </c>
      <c r="B1357" s="1">
        <v>44888</v>
      </c>
    </row>
    <row r="1358" spans="1:2" x14ac:dyDescent="0.25">
      <c r="A1358">
        <v>307957</v>
      </c>
      <c r="B1358" s="1">
        <v>44884</v>
      </c>
    </row>
    <row r="1359" spans="1:2" x14ac:dyDescent="0.25">
      <c r="A1359">
        <v>307976</v>
      </c>
      <c r="B1359" s="1">
        <v>44692</v>
      </c>
    </row>
    <row r="1360" spans="1:2" x14ac:dyDescent="0.25">
      <c r="A1360">
        <v>307979</v>
      </c>
      <c r="B1360" s="1">
        <v>44707</v>
      </c>
    </row>
    <row r="1361" spans="1:2" x14ac:dyDescent="0.25">
      <c r="A1361">
        <v>307983</v>
      </c>
      <c r="B1361" s="1">
        <v>44783</v>
      </c>
    </row>
    <row r="1362" spans="1:2" x14ac:dyDescent="0.25">
      <c r="A1362">
        <v>307988</v>
      </c>
      <c r="B1362" s="1">
        <v>44799</v>
      </c>
    </row>
    <row r="1363" spans="1:2" x14ac:dyDescent="0.25">
      <c r="A1363">
        <v>308000</v>
      </c>
      <c r="B1363" s="1">
        <v>44855</v>
      </c>
    </row>
    <row r="1364" spans="1:2" x14ac:dyDescent="0.25">
      <c r="A1364">
        <v>308004</v>
      </c>
      <c r="B1364" s="1">
        <v>44654</v>
      </c>
    </row>
    <row r="1365" spans="1:2" x14ac:dyDescent="0.25">
      <c r="A1365">
        <v>308011</v>
      </c>
      <c r="B1365" s="1">
        <v>44638</v>
      </c>
    </row>
    <row r="1366" spans="1:2" x14ac:dyDescent="0.25">
      <c r="A1366">
        <v>308013</v>
      </c>
      <c r="B1366" s="1">
        <v>44912</v>
      </c>
    </row>
    <row r="1367" spans="1:2" x14ac:dyDescent="0.25">
      <c r="A1367">
        <v>308018</v>
      </c>
      <c r="B1367" s="1">
        <v>44694</v>
      </c>
    </row>
    <row r="1368" spans="1:2" x14ac:dyDescent="0.25">
      <c r="A1368">
        <v>308029</v>
      </c>
      <c r="B1368" s="1">
        <v>44654</v>
      </c>
    </row>
    <row r="1369" spans="1:2" x14ac:dyDescent="0.25">
      <c r="A1369">
        <v>308040</v>
      </c>
      <c r="B1369" s="1">
        <v>44672</v>
      </c>
    </row>
    <row r="1370" spans="1:2" x14ac:dyDescent="0.25">
      <c r="A1370">
        <v>308046</v>
      </c>
      <c r="B1370" s="1">
        <v>44900</v>
      </c>
    </row>
    <row r="1371" spans="1:2" x14ac:dyDescent="0.25">
      <c r="A1371">
        <v>308051</v>
      </c>
      <c r="B1371" s="1">
        <v>44631</v>
      </c>
    </row>
    <row r="1372" spans="1:2" x14ac:dyDescent="0.25">
      <c r="A1372">
        <v>308055</v>
      </c>
      <c r="B1372" s="1">
        <v>44819</v>
      </c>
    </row>
    <row r="1373" spans="1:2" x14ac:dyDescent="0.25">
      <c r="A1373">
        <v>308059</v>
      </c>
      <c r="B1373" s="1">
        <v>44794</v>
      </c>
    </row>
    <row r="1374" spans="1:2" x14ac:dyDescent="0.25">
      <c r="A1374">
        <v>308063</v>
      </c>
      <c r="B1374" s="1">
        <v>44673</v>
      </c>
    </row>
    <row r="1375" spans="1:2" x14ac:dyDescent="0.25">
      <c r="A1375">
        <v>308073</v>
      </c>
      <c r="B1375" s="1">
        <v>44802</v>
      </c>
    </row>
    <row r="1376" spans="1:2" x14ac:dyDescent="0.25">
      <c r="A1376">
        <v>308077</v>
      </c>
      <c r="B1376" s="1">
        <v>44719</v>
      </c>
    </row>
    <row r="1377" spans="1:2" x14ac:dyDescent="0.25">
      <c r="A1377">
        <v>308085</v>
      </c>
      <c r="B1377" s="1">
        <v>44688</v>
      </c>
    </row>
    <row r="1378" spans="1:2" x14ac:dyDescent="0.25">
      <c r="A1378">
        <v>308086</v>
      </c>
      <c r="B1378" s="1">
        <v>44717</v>
      </c>
    </row>
    <row r="1379" spans="1:2" x14ac:dyDescent="0.25">
      <c r="A1379">
        <v>308089</v>
      </c>
      <c r="B1379" s="1">
        <v>44694</v>
      </c>
    </row>
    <row r="1380" spans="1:2" x14ac:dyDescent="0.25">
      <c r="A1380">
        <v>308090</v>
      </c>
      <c r="B1380" s="1">
        <v>44820</v>
      </c>
    </row>
    <row r="1381" spans="1:2" x14ac:dyDescent="0.25">
      <c r="A1381">
        <v>308095</v>
      </c>
      <c r="B1381" s="1">
        <v>44695</v>
      </c>
    </row>
    <row r="1382" spans="1:2" x14ac:dyDescent="0.25">
      <c r="A1382">
        <v>308101</v>
      </c>
      <c r="B1382" s="1">
        <v>44669</v>
      </c>
    </row>
    <row r="1383" spans="1:2" x14ac:dyDescent="0.25">
      <c r="A1383">
        <v>308116</v>
      </c>
      <c r="B1383" s="1">
        <v>44739</v>
      </c>
    </row>
    <row r="1384" spans="1:2" x14ac:dyDescent="0.25">
      <c r="A1384">
        <v>308118</v>
      </c>
      <c r="B1384" s="1">
        <v>44891</v>
      </c>
    </row>
    <row r="1385" spans="1:2" x14ac:dyDescent="0.25">
      <c r="A1385">
        <v>308129</v>
      </c>
      <c r="B1385" s="1">
        <v>44923</v>
      </c>
    </row>
    <row r="1386" spans="1:2" x14ac:dyDescent="0.25">
      <c r="A1386">
        <v>308133</v>
      </c>
      <c r="B1386" s="1">
        <v>44841</v>
      </c>
    </row>
    <row r="1387" spans="1:2" x14ac:dyDescent="0.25">
      <c r="A1387">
        <v>308163</v>
      </c>
      <c r="B1387" s="1">
        <v>44791</v>
      </c>
    </row>
    <row r="1388" spans="1:2" x14ac:dyDescent="0.25">
      <c r="A1388">
        <v>308169</v>
      </c>
      <c r="B1388" s="1">
        <v>44855</v>
      </c>
    </row>
    <row r="1389" spans="1:2" x14ac:dyDescent="0.25">
      <c r="A1389">
        <v>308173</v>
      </c>
      <c r="B1389" s="1">
        <v>44793</v>
      </c>
    </row>
    <row r="1390" spans="1:2" x14ac:dyDescent="0.25">
      <c r="A1390">
        <v>308175</v>
      </c>
      <c r="B1390" s="1">
        <v>44657</v>
      </c>
    </row>
    <row r="1391" spans="1:2" x14ac:dyDescent="0.25">
      <c r="A1391">
        <v>308177</v>
      </c>
      <c r="B1391" s="1">
        <v>44833</v>
      </c>
    </row>
    <row r="1392" spans="1:2" x14ac:dyDescent="0.25">
      <c r="A1392">
        <v>308179</v>
      </c>
      <c r="B1392" s="1">
        <v>44806</v>
      </c>
    </row>
    <row r="1393" spans="1:2" x14ac:dyDescent="0.25">
      <c r="A1393">
        <v>308185</v>
      </c>
      <c r="B1393" s="1">
        <v>44671</v>
      </c>
    </row>
    <row r="1394" spans="1:2" x14ac:dyDescent="0.25">
      <c r="A1394">
        <v>308194</v>
      </c>
      <c r="B1394" s="1">
        <v>44871</v>
      </c>
    </row>
    <row r="1395" spans="1:2" x14ac:dyDescent="0.25">
      <c r="A1395">
        <v>308201</v>
      </c>
      <c r="B1395" s="1">
        <v>44764</v>
      </c>
    </row>
    <row r="1396" spans="1:2" x14ac:dyDescent="0.25">
      <c r="A1396">
        <v>308213</v>
      </c>
      <c r="B1396" s="1">
        <v>44833</v>
      </c>
    </row>
    <row r="1397" spans="1:2" x14ac:dyDescent="0.25">
      <c r="A1397">
        <v>308217</v>
      </c>
      <c r="B1397" s="1">
        <v>44635</v>
      </c>
    </row>
    <row r="1398" spans="1:2" x14ac:dyDescent="0.25">
      <c r="A1398">
        <v>308222</v>
      </c>
      <c r="B1398" s="1">
        <v>44720</v>
      </c>
    </row>
    <row r="1399" spans="1:2" x14ac:dyDescent="0.25">
      <c r="A1399">
        <v>308223</v>
      </c>
      <c r="B1399" s="1">
        <v>44626</v>
      </c>
    </row>
    <row r="1400" spans="1:2" x14ac:dyDescent="0.25">
      <c r="A1400">
        <v>308224</v>
      </c>
      <c r="B1400" s="1">
        <v>44811</v>
      </c>
    </row>
    <row r="1401" spans="1:2" x14ac:dyDescent="0.25">
      <c r="A1401">
        <v>308231</v>
      </c>
      <c r="B1401" s="1">
        <v>44810</v>
      </c>
    </row>
    <row r="1402" spans="1:2" x14ac:dyDescent="0.25">
      <c r="A1402">
        <v>308238</v>
      </c>
      <c r="B1402" s="1">
        <v>44810</v>
      </c>
    </row>
    <row r="1403" spans="1:2" x14ac:dyDescent="0.25">
      <c r="A1403">
        <v>308256</v>
      </c>
      <c r="B1403" s="1">
        <v>44876</v>
      </c>
    </row>
    <row r="1404" spans="1:2" x14ac:dyDescent="0.25">
      <c r="A1404">
        <v>308258</v>
      </c>
      <c r="B1404" s="1">
        <v>44807</v>
      </c>
    </row>
    <row r="1405" spans="1:2" x14ac:dyDescent="0.25">
      <c r="A1405">
        <v>308263</v>
      </c>
      <c r="B1405" s="1">
        <v>44665</v>
      </c>
    </row>
    <row r="1406" spans="1:2" x14ac:dyDescent="0.25">
      <c r="A1406">
        <v>308266</v>
      </c>
      <c r="B1406" s="1">
        <v>44764</v>
      </c>
    </row>
    <row r="1407" spans="1:2" x14ac:dyDescent="0.25">
      <c r="A1407">
        <v>308270</v>
      </c>
      <c r="B1407" s="1">
        <v>44744</v>
      </c>
    </row>
    <row r="1408" spans="1:2" x14ac:dyDescent="0.25">
      <c r="A1408">
        <v>308272</v>
      </c>
      <c r="B1408" s="1">
        <v>44635</v>
      </c>
    </row>
    <row r="1409" spans="1:2" x14ac:dyDescent="0.25">
      <c r="A1409">
        <v>308274</v>
      </c>
      <c r="B1409" s="1">
        <v>44871</v>
      </c>
    </row>
    <row r="1410" spans="1:2" x14ac:dyDescent="0.25">
      <c r="A1410">
        <v>308275</v>
      </c>
      <c r="B1410" s="1">
        <v>44815</v>
      </c>
    </row>
    <row r="1411" spans="1:2" x14ac:dyDescent="0.25">
      <c r="A1411">
        <v>308278</v>
      </c>
      <c r="B1411" s="1">
        <v>44658</v>
      </c>
    </row>
    <row r="1412" spans="1:2" x14ac:dyDescent="0.25">
      <c r="A1412">
        <v>308282</v>
      </c>
      <c r="B1412" s="1">
        <v>44637</v>
      </c>
    </row>
    <row r="1413" spans="1:2" x14ac:dyDescent="0.25">
      <c r="A1413">
        <v>308286</v>
      </c>
      <c r="B1413" s="1">
        <v>44674</v>
      </c>
    </row>
    <row r="1414" spans="1:2" x14ac:dyDescent="0.25">
      <c r="A1414">
        <v>308293</v>
      </c>
      <c r="B1414" s="1">
        <v>44819</v>
      </c>
    </row>
    <row r="1415" spans="1:2" x14ac:dyDescent="0.25">
      <c r="A1415">
        <v>308294</v>
      </c>
      <c r="B1415" s="1">
        <v>44653</v>
      </c>
    </row>
    <row r="1416" spans="1:2" x14ac:dyDescent="0.25">
      <c r="A1416">
        <v>308299</v>
      </c>
      <c r="B1416" s="1">
        <v>44688</v>
      </c>
    </row>
    <row r="1417" spans="1:2" x14ac:dyDescent="0.25">
      <c r="A1417">
        <v>308313</v>
      </c>
      <c r="B1417" s="1">
        <v>44648</v>
      </c>
    </row>
    <row r="1418" spans="1:2" x14ac:dyDescent="0.25">
      <c r="A1418">
        <v>308318</v>
      </c>
      <c r="B1418" s="1">
        <v>44683</v>
      </c>
    </row>
    <row r="1419" spans="1:2" x14ac:dyDescent="0.25">
      <c r="A1419">
        <v>308323</v>
      </c>
      <c r="B1419" s="1">
        <v>44818</v>
      </c>
    </row>
    <row r="1420" spans="1:2" x14ac:dyDescent="0.25">
      <c r="A1420">
        <v>308328</v>
      </c>
      <c r="B1420" s="1">
        <v>44654</v>
      </c>
    </row>
    <row r="1421" spans="1:2" x14ac:dyDescent="0.25">
      <c r="A1421">
        <v>308340</v>
      </c>
      <c r="B1421" s="1">
        <v>44654</v>
      </c>
    </row>
    <row r="1422" spans="1:2" x14ac:dyDescent="0.25">
      <c r="A1422">
        <v>308342</v>
      </c>
      <c r="B1422" s="1">
        <v>44743</v>
      </c>
    </row>
    <row r="1423" spans="1:2" x14ac:dyDescent="0.25">
      <c r="A1423">
        <v>308348</v>
      </c>
      <c r="B1423" s="1">
        <v>44924</v>
      </c>
    </row>
    <row r="1424" spans="1:2" x14ac:dyDescent="0.25">
      <c r="A1424">
        <v>308352</v>
      </c>
      <c r="B1424" s="1">
        <v>44661</v>
      </c>
    </row>
    <row r="1425" spans="1:2" x14ac:dyDescent="0.25">
      <c r="A1425">
        <v>308353</v>
      </c>
      <c r="B1425" s="1">
        <v>44726</v>
      </c>
    </row>
    <row r="1426" spans="1:2" x14ac:dyDescent="0.25">
      <c r="A1426">
        <v>308356</v>
      </c>
      <c r="B1426" s="1">
        <v>44810</v>
      </c>
    </row>
    <row r="1427" spans="1:2" x14ac:dyDescent="0.25">
      <c r="A1427">
        <v>308361</v>
      </c>
      <c r="B1427" s="1">
        <v>44899</v>
      </c>
    </row>
    <row r="1428" spans="1:2" x14ac:dyDescent="0.25">
      <c r="A1428">
        <v>308363</v>
      </c>
      <c r="B1428" s="1">
        <v>44685</v>
      </c>
    </row>
    <row r="1429" spans="1:2" x14ac:dyDescent="0.25">
      <c r="A1429">
        <v>308368</v>
      </c>
      <c r="B1429" s="1">
        <v>44893</v>
      </c>
    </row>
    <row r="1430" spans="1:2" x14ac:dyDescent="0.25">
      <c r="A1430">
        <v>308374</v>
      </c>
      <c r="B1430" s="1">
        <v>44766</v>
      </c>
    </row>
    <row r="1431" spans="1:2" x14ac:dyDescent="0.25">
      <c r="A1431">
        <v>308387</v>
      </c>
      <c r="B1431" s="1">
        <v>44811</v>
      </c>
    </row>
    <row r="1432" spans="1:2" x14ac:dyDescent="0.25">
      <c r="A1432">
        <v>308392</v>
      </c>
      <c r="B1432" s="1">
        <v>44830</v>
      </c>
    </row>
    <row r="1433" spans="1:2" x14ac:dyDescent="0.25">
      <c r="A1433">
        <v>308397</v>
      </c>
      <c r="B1433" s="1">
        <v>44772</v>
      </c>
    </row>
    <row r="1434" spans="1:2" x14ac:dyDescent="0.25">
      <c r="A1434">
        <v>308400</v>
      </c>
      <c r="B1434" s="1">
        <v>44814</v>
      </c>
    </row>
    <row r="1435" spans="1:2" x14ac:dyDescent="0.25">
      <c r="A1435">
        <v>308405</v>
      </c>
      <c r="B1435" s="1">
        <v>44822</v>
      </c>
    </row>
    <row r="1436" spans="1:2" x14ac:dyDescent="0.25">
      <c r="A1436">
        <v>308414</v>
      </c>
      <c r="B1436" s="1">
        <v>44664</v>
      </c>
    </row>
    <row r="1437" spans="1:2" x14ac:dyDescent="0.25">
      <c r="A1437">
        <v>308416</v>
      </c>
      <c r="B1437" s="1">
        <v>44809</v>
      </c>
    </row>
    <row r="1438" spans="1:2" x14ac:dyDescent="0.25">
      <c r="A1438">
        <v>308426</v>
      </c>
      <c r="B1438" s="1">
        <v>44623</v>
      </c>
    </row>
    <row r="1439" spans="1:2" x14ac:dyDescent="0.25">
      <c r="A1439">
        <v>308429</v>
      </c>
      <c r="B1439" s="1">
        <v>44836</v>
      </c>
    </row>
    <row r="1440" spans="1:2" x14ac:dyDescent="0.25">
      <c r="A1440">
        <v>308433</v>
      </c>
      <c r="B1440" s="1">
        <v>44918</v>
      </c>
    </row>
    <row r="1441" spans="1:2" x14ac:dyDescent="0.25">
      <c r="A1441">
        <v>308442</v>
      </c>
      <c r="B1441" s="1">
        <v>44660</v>
      </c>
    </row>
    <row r="1442" spans="1:2" x14ac:dyDescent="0.25">
      <c r="A1442">
        <v>308445</v>
      </c>
      <c r="B1442" s="1">
        <v>44693</v>
      </c>
    </row>
    <row r="1443" spans="1:2" x14ac:dyDescent="0.25">
      <c r="A1443">
        <v>308447</v>
      </c>
      <c r="B1443" s="1">
        <v>44755</v>
      </c>
    </row>
    <row r="1444" spans="1:2" x14ac:dyDescent="0.25">
      <c r="A1444">
        <v>308456</v>
      </c>
      <c r="B1444" s="1">
        <v>44915</v>
      </c>
    </row>
    <row r="1445" spans="1:2" x14ac:dyDescent="0.25">
      <c r="A1445">
        <v>308461</v>
      </c>
      <c r="B1445" s="1">
        <v>44798</v>
      </c>
    </row>
    <row r="1446" spans="1:2" x14ac:dyDescent="0.25">
      <c r="A1446">
        <v>308468</v>
      </c>
      <c r="B1446" s="1">
        <v>44760</v>
      </c>
    </row>
    <row r="1447" spans="1:2" x14ac:dyDescent="0.25">
      <c r="A1447">
        <v>308473</v>
      </c>
      <c r="B1447" s="1">
        <v>44894</v>
      </c>
    </row>
    <row r="1448" spans="1:2" x14ac:dyDescent="0.25">
      <c r="A1448">
        <v>308474</v>
      </c>
      <c r="B1448" s="1">
        <v>44648</v>
      </c>
    </row>
    <row r="1449" spans="1:2" x14ac:dyDescent="0.25">
      <c r="A1449">
        <v>308475</v>
      </c>
      <c r="B1449" s="1">
        <v>44823</v>
      </c>
    </row>
    <row r="1450" spans="1:2" x14ac:dyDescent="0.25">
      <c r="A1450">
        <v>308479</v>
      </c>
      <c r="B1450" s="1">
        <v>44823</v>
      </c>
    </row>
    <row r="1451" spans="1:2" x14ac:dyDescent="0.25">
      <c r="A1451">
        <v>308480</v>
      </c>
      <c r="B1451" s="1">
        <v>44749</v>
      </c>
    </row>
    <row r="1452" spans="1:2" x14ac:dyDescent="0.25">
      <c r="A1452">
        <v>308481</v>
      </c>
      <c r="B1452" s="1">
        <v>44916</v>
      </c>
    </row>
    <row r="1453" spans="1:2" x14ac:dyDescent="0.25">
      <c r="A1453">
        <v>308483</v>
      </c>
      <c r="B1453" s="1">
        <v>44851</v>
      </c>
    </row>
    <row r="1454" spans="1:2" x14ac:dyDescent="0.25">
      <c r="A1454">
        <v>308488</v>
      </c>
      <c r="B1454" s="1">
        <v>44659</v>
      </c>
    </row>
    <row r="1455" spans="1:2" x14ac:dyDescent="0.25">
      <c r="A1455">
        <v>308498</v>
      </c>
      <c r="B1455" s="1">
        <v>44844</v>
      </c>
    </row>
    <row r="1456" spans="1:2" x14ac:dyDescent="0.25">
      <c r="A1456">
        <v>308510</v>
      </c>
      <c r="B1456" s="1">
        <v>44623</v>
      </c>
    </row>
    <row r="1457" spans="1:2" x14ac:dyDescent="0.25">
      <c r="A1457">
        <v>308513</v>
      </c>
      <c r="B1457" s="1">
        <v>44881</v>
      </c>
    </row>
    <row r="1458" spans="1:2" x14ac:dyDescent="0.25">
      <c r="A1458">
        <v>308514</v>
      </c>
      <c r="B1458" s="1">
        <v>44663</v>
      </c>
    </row>
    <row r="1459" spans="1:2" x14ac:dyDescent="0.25">
      <c r="A1459">
        <v>308515</v>
      </c>
      <c r="B1459" s="1">
        <v>44640</v>
      </c>
    </row>
    <row r="1460" spans="1:2" x14ac:dyDescent="0.25">
      <c r="A1460">
        <v>308524</v>
      </c>
      <c r="B1460" s="1">
        <v>44790</v>
      </c>
    </row>
    <row r="1461" spans="1:2" x14ac:dyDescent="0.25">
      <c r="A1461">
        <v>308534</v>
      </c>
      <c r="B1461" s="1">
        <v>44873</v>
      </c>
    </row>
    <row r="1462" spans="1:2" x14ac:dyDescent="0.25">
      <c r="A1462">
        <v>308536</v>
      </c>
      <c r="B1462" s="1">
        <v>44817</v>
      </c>
    </row>
    <row r="1463" spans="1:2" x14ac:dyDescent="0.25">
      <c r="A1463">
        <v>308551</v>
      </c>
      <c r="B1463" s="1">
        <v>44870</v>
      </c>
    </row>
    <row r="1464" spans="1:2" x14ac:dyDescent="0.25">
      <c r="A1464">
        <v>308564</v>
      </c>
      <c r="B1464" s="1">
        <v>44874</v>
      </c>
    </row>
    <row r="1465" spans="1:2" x14ac:dyDescent="0.25">
      <c r="A1465">
        <v>308576</v>
      </c>
      <c r="B1465" s="1">
        <v>44908</v>
      </c>
    </row>
    <row r="1466" spans="1:2" x14ac:dyDescent="0.25">
      <c r="A1466">
        <v>308582</v>
      </c>
      <c r="B1466" s="1">
        <v>44887</v>
      </c>
    </row>
    <row r="1467" spans="1:2" x14ac:dyDescent="0.25">
      <c r="A1467">
        <v>308612</v>
      </c>
      <c r="B1467" s="1">
        <v>44809</v>
      </c>
    </row>
    <row r="1468" spans="1:2" x14ac:dyDescent="0.25">
      <c r="A1468">
        <v>308616</v>
      </c>
      <c r="B1468" s="1">
        <v>44691</v>
      </c>
    </row>
    <row r="1469" spans="1:2" x14ac:dyDescent="0.25">
      <c r="A1469">
        <v>308621</v>
      </c>
      <c r="B1469" s="1">
        <v>44800</v>
      </c>
    </row>
    <row r="1470" spans="1:2" x14ac:dyDescent="0.25">
      <c r="A1470">
        <v>308623</v>
      </c>
      <c r="B1470" s="1">
        <v>44676</v>
      </c>
    </row>
    <row r="1471" spans="1:2" x14ac:dyDescent="0.25">
      <c r="A1471">
        <v>308625</v>
      </c>
      <c r="B1471" s="1">
        <v>44719</v>
      </c>
    </row>
    <row r="1472" spans="1:2" x14ac:dyDescent="0.25">
      <c r="A1472">
        <v>308626</v>
      </c>
      <c r="B1472" s="1">
        <v>44777</v>
      </c>
    </row>
    <row r="1473" spans="1:2" x14ac:dyDescent="0.25">
      <c r="A1473">
        <v>308630</v>
      </c>
      <c r="B1473" s="1">
        <v>44687</v>
      </c>
    </row>
    <row r="1474" spans="1:2" x14ac:dyDescent="0.25">
      <c r="A1474">
        <v>308635</v>
      </c>
      <c r="B1474" s="1">
        <v>44719</v>
      </c>
    </row>
    <row r="1475" spans="1:2" x14ac:dyDescent="0.25">
      <c r="A1475">
        <v>308636</v>
      </c>
      <c r="B1475" s="1">
        <v>44878</v>
      </c>
    </row>
    <row r="1476" spans="1:2" x14ac:dyDescent="0.25">
      <c r="A1476">
        <v>308642</v>
      </c>
      <c r="B1476" s="1">
        <v>44692</v>
      </c>
    </row>
    <row r="1477" spans="1:2" x14ac:dyDescent="0.25">
      <c r="A1477">
        <v>308643</v>
      </c>
      <c r="B1477" s="1">
        <v>44899</v>
      </c>
    </row>
    <row r="1478" spans="1:2" x14ac:dyDescent="0.25">
      <c r="A1478">
        <v>308664</v>
      </c>
      <c r="B1478" s="1">
        <v>44900</v>
      </c>
    </row>
    <row r="1479" spans="1:2" x14ac:dyDescent="0.25">
      <c r="A1479">
        <v>308672</v>
      </c>
      <c r="B1479" s="1">
        <v>44736</v>
      </c>
    </row>
    <row r="1480" spans="1:2" x14ac:dyDescent="0.25">
      <c r="A1480">
        <v>308677</v>
      </c>
      <c r="B1480" s="1">
        <v>44861</v>
      </c>
    </row>
    <row r="1481" spans="1:2" x14ac:dyDescent="0.25">
      <c r="A1481">
        <v>308682</v>
      </c>
      <c r="B1481" s="1">
        <v>44920</v>
      </c>
    </row>
    <row r="1482" spans="1:2" x14ac:dyDescent="0.25">
      <c r="A1482">
        <v>308687</v>
      </c>
      <c r="B1482" s="1">
        <v>44861</v>
      </c>
    </row>
    <row r="1483" spans="1:2" x14ac:dyDescent="0.25">
      <c r="A1483">
        <v>308688</v>
      </c>
      <c r="B1483" s="1">
        <v>44911</v>
      </c>
    </row>
    <row r="1484" spans="1:2" x14ac:dyDescent="0.25">
      <c r="A1484">
        <v>308691</v>
      </c>
      <c r="B1484" s="1">
        <v>44771</v>
      </c>
    </row>
    <row r="1485" spans="1:2" x14ac:dyDescent="0.25">
      <c r="A1485">
        <v>308703</v>
      </c>
      <c r="B1485" s="1">
        <v>44831</v>
      </c>
    </row>
    <row r="1486" spans="1:2" x14ac:dyDescent="0.25">
      <c r="A1486">
        <v>308706</v>
      </c>
      <c r="B1486" s="1">
        <v>44709</v>
      </c>
    </row>
    <row r="1487" spans="1:2" x14ac:dyDescent="0.25">
      <c r="A1487">
        <v>308717</v>
      </c>
      <c r="B1487" s="1">
        <v>44893</v>
      </c>
    </row>
    <row r="1488" spans="1:2" x14ac:dyDescent="0.25">
      <c r="A1488">
        <v>308723</v>
      </c>
      <c r="B1488" s="1">
        <v>44879</v>
      </c>
    </row>
    <row r="1489" spans="1:2" x14ac:dyDescent="0.25">
      <c r="A1489">
        <v>308725</v>
      </c>
      <c r="B1489" s="1">
        <v>44720</v>
      </c>
    </row>
    <row r="1490" spans="1:2" x14ac:dyDescent="0.25">
      <c r="A1490">
        <v>308731</v>
      </c>
      <c r="B1490" s="1">
        <v>44884</v>
      </c>
    </row>
    <row r="1491" spans="1:2" x14ac:dyDescent="0.25">
      <c r="A1491">
        <v>308733</v>
      </c>
      <c r="B1491" s="1">
        <v>44697</v>
      </c>
    </row>
    <row r="1492" spans="1:2" x14ac:dyDescent="0.25">
      <c r="A1492">
        <v>308737</v>
      </c>
      <c r="B1492" s="1">
        <v>44639</v>
      </c>
    </row>
    <row r="1493" spans="1:2" x14ac:dyDescent="0.25">
      <c r="A1493">
        <v>308740</v>
      </c>
      <c r="B1493" s="1">
        <v>44892</v>
      </c>
    </row>
    <row r="1494" spans="1:2" x14ac:dyDescent="0.25">
      <c r="A1494">
        <v>308745</v>
      </c>
      <c r="B1494" s="1">
        <v>44678</v>
      </c>
    </row>
    <row r="1495" spans="1:2" x14ac:dyDescent="0.25">
      <c r="A1495">
        <v>308759</v>
      </c>
      <c r="B1495" s="1">
        <v>44854</v>
      </c>
    </row>
    <row r="1496" spans="1:2" x14ac:dyDescent="0.25">
      <c r="A1496">
        <v>308767</v>
      </c>
      <c r="B1496" s="1">
        <v>44734</v>
      </c>
    </row>
    <row r="1497" spans="1:2" x14ac:dyDescent="0.25">
      <c r="A1497">
        <v>308772</v>
      </c>
      <c r="B1497" s="1">
        <v>44866</v>
      </c>
    </row>
    <row r="1498" spans="1:2" x14ac:dyDescent="0.25">
      <c r="A1498">
        <v>308778</v>
      </c>
      <c r="B1498" s="1">
        <v>44857</v>
      </c>
    </row>
    <row r="1499" spans="1:2" x14ac:dyDescent="0.25">
      <c r="A1499">
        <v>308785</v>
      </c>
      <c r="B1499" s="1">
        <v>44723</v>
      </c>
    </row>
    <row r="1500" spans="1:2" x14ac:dyDescent="0.25">
      <c r="A1500">
        <v>308788</v>
      </c>
      <c r="B1500" s="1">
        <v>44832</v>
      </c>
    </row>
    <row r="1501" spans="1:2" x14ac:dyDescent="0.25">
      <c r="A1501">
        <v>308799</v>
      </c>
      <c r="B1501" s="1">
        <v>44623</v>
      </c>
    </row>
    <row r="1502" spans="1:2" x14ac:dyDescent="0.25">
      <c r="A1502">
        <v>308819</v>
      </c>
      <c r="B1502" s="1">
        <v>44840</v>
      </c>
    </row>
    <row r="1503" spans="1:2" x14ac:dyDescent="0.25">
      <c r="A1503">
        <v>308830</v>
      </c>
      <c r="B1503" s="1">
        <v>44738</v>
      </c>
    </row>
    <row r="1504" spans="1:2" x14ac:dyDescent="0.25">
      <c r="A1504">
        <v>308840</v>
      </c>
      <c r="B1504" s="1">
        <v>44781</v>
      </c>
    </row>
    <row r="1505" spans="1:2" x14ac:dyDescent="0.25">
      <c r="A1505">
        <v>308847</v>
      </c>
      <c r="B1505" s="1">
        <v>44750</v>
      </c>
    </row>
    <row r="1506" spans="1:2" x14ac:dyDescent="0.25">
      <c r="A1506">
        <v>308851</v>
      </c>
      <c r="B1506" s="1">
        <v>44736</v>
      </c>
    </row>
    <row r="1507" spans="1:2" x14ac:dyDescent="0.25">
      <c r="A1507">
        <v>308857</v>
      </c>
      <c r="B1507" s="1">
        <v>44814</v>
      </c>
    </row>
    <row r="1508" spans="1:2" x14ac:dyDescent="0.25">
      <c r="A1508">
        <v>308858</v>
      </c>
      <c r="B1508" s="1">
        <v>44763</v>
      </c>
    </row>
    <row r="1509" spans="1:2" x14ac:dyDescent="0.25">
      <c r="A1509">
        <v>308861</v>
      </c>
      <c r="B1509" s="1">
        <v>44670</v>
      </c>
    </row>
    <row r="1510" spans="1:2" x14ac:dyDescent="0.25">
      <c r="A1510">
        <v>308865</v>
      </c>
      <c r="B1510" s="1">
        <v>44733</v>
      </c>
    </row>
    <row r="1511" spans="1:2" x14ac:dyDescent="0.25">
      <c r="A1511">
        <v>308872</v>
      </c>
      <c r="B1511" s="1">
        <v>44648</v>
      </c>
    </row>
    <row r="1512" spans="1:2" x14ac:dyDescent="0.25">
      <c r="A1512">
        <v>308877</v>
      </c>
      <c r="B1512" s="1">
        <v>44866</v>
      </c>
    </row>
    <row r="1513" spans="1:2" x14ac:dyDescent="0.25">
      <c r="A1513">
        <v>308883</v>
      </c>
      <c r="B1513" s="1">
        <v>44910</v>
      </c>
    </row>
    <row r="1514" spans="1:2" x14ac:dyDescent="0.25">
      <c r="A1514">
        <v>308886</v>
      </c>
      <c r="B1514" s="1">
        <v>44706</v>
      </c>
    </row>
    <row r="1515" spans="1:2" x14ac:dyDescent="0.25">
      <c r="A1515">
        <v>308890</v>
      </c>
      <c r="B1515" s="1">
        <v>44674</v>
      </c>
    </row>
    <row r="1516" spans="1:2" x14ac:dyDescent="0.25">
      <c r="A1516">
        <v>308895</v>
      </c>
      <c r="B1516" s="1">
        <v>44767</v>
      </c>
    </row>
    <row r="1517" spans="1:2" x14ac:dyDescent="0.25">
      <c r="A1517">
        <v>308903</v>
      </c>
      <c r="B1517" s="1">
        <v>44823</v>
      </c>
    </row>
    <row r="1518" spans="1:2" x14ac:dyDescent="0.25">
      <c r="A1518">
        <v>308911</v>
      </c>
      <c r="B1518" s="1">
        <v>44873</v>
      </c>
    </row>
    <row r="1519" spans="1:2" x14ac:dyDescent="0.25">
      <c r="A1519">
        <v>308927</v>
      </c>
      <c r="B1519" s="1">
        <v>44835</v>
      </c>
    </row>
    <row r="1520" spans="1:2" x14ac:dyDescent="0.25">
      <c r="A1520">
        <v>308935</v>
      </c>
      <c r="B1520" s="1">
        <v>44732</v>
      </c>
    </row>
    <row r="1521" spans="1:2" x14ac:dyDescent="0.25">
      <c r="A1521">
        <v>308937</v>
      </c>
      <c r="B1521" s="1">
        <v>44854</v>
      </c>
    </row>
    <row r="1522" spans="1:2" x14ac:dyDescent="0.25">
      <c r="A1522">
        <v>308942</v>
      </c>
      <c r="B1522" s="1">
        <v>44689</v>
      </c>
    </row>
    <row r="1523" spans="1:2" x14ac:dyDescent="0.25">
      <c r="A1523">
        <v>308946</v>
      </c>
      <c r="B1523" s="1">
        <v>44715</v>
      </c>
    </row>
    <row r="1524" spans="1:2" x14ac:dyDescent="0.25">
      <c r="A1524">
        <v>308948</v>
      </c>
      <c r="B1524" s="1">
        <v>44903</v>
      </c>
    </row>
    <row r="1525" spans="1:2" x14ac:dyDescent="0.25">
      <c r="A1525">
        <v>308952</v>
      </c>
      <c r="B1525" s="1">
        <v>44837</v>
      </c>
    </row>
    <row r="1526" spans="1:2" x14ac:dyDescent="0.25">
      <c r="A1526">
        <v>308957</v>
      </c>
      <c r="B1526" s="1">
        <v>44793</v>
      </c>
    </row>
    <row r="1527" spans="1:2" x14ac:dyDescent="0.25">
      <c r="A1527">
        <v>308964</v>
      </c>
      <c r="B1527" s="1">
        <v>44847</v>
      </c>
    </row>
    <row r="1528" spans="1:2" x14ac:dyDescent="0.25">
      <c r="A1528">
        <v>308980</v>
      </c>
      <c r="B1528" s="1">
        <v>44636</v>
      </c>
    </row>
    <row r="1529" spans="1:2" x14ac:dyDescent="0.25">
      <c r="A1529">
        <v>308998</v>
      </c>
      <c r="B1529" s="1">
        <v>44648</v>
      </c>
    </row>
    <row r="1530" spans="1:2" x14ac:dyDescent="0.25">
      <c r="A1530">
        <v>309002</v>
      </c>
      <c r="B1530" s="1">
        <v>44920</v>
      </c>
    </row>
    <row r="1531" spans="1:2" x14ac:dyDescent="0.25">
      <c r="A1531">
        <v>309004</v>
      </c>
      <c r="B1531" s="1">
        <v>44863</v>
      </c>
    </row>
    <row r="1532" spans="1:2" x14ac:dyDescent="0.25">
      <c r="A1532">
        <v>309005</v>
      </c>
      <c r="B1532" s="1">
        <v>44626</v>
      </c>
    </row>
    <row r="1533" spans="1:2" x14ac:dyDescent="0.25">
      <c r="A1533">
        <v>309012</v>
      </c>
      <c r="B1533" s="1">
        <v>44718</v>
      </c>
    </row>
    <row r="1534" spans="1:2" x14ac:dyDescent="0.25">
      <c r="A1534">
        <v>309013</v>
      </c>
      <c r="B1534" s="1">
        <v>44881</v>
      </c>
    </row>
    <row r="1535" spans="1:2" x14ac:dyDescent="0.25">
      <c r="A1535">
        <v>309018</v>
      </c>
      <c r="B1535" s="1">
        <v>44655</v>
      </c>
    </row>
    <row r="1536" spans="1:2" x14ac:dyDescent="0.25">
      <c r="A1536">
        <v>309020</v>
      </c>
      <c r="B1536" s="1">
        <v>44899</v>
      </c>
    </row>
    <row r="1537" spans="1:2" x14ac:dyDescent="0.25">
      <c r="A1537">
        <v>309021</v>
      </c>
      <c r="B1537" s="1">
        <v>44789</v>
      </c>
    </row>
    <row r="1538" spans="1:2" x14ac:dyDescent="0.25">
      <c r="A1538">
        <v>309023</v>
      </c>
      <c r="B1538" s="1">
        <v>44791</v>
      </c>
    </row>
    <row r="1539" spans="1:2" x14ac:dyDescent="0.25">
      <c r="A1539">
        <v>309036</v>
      </c>
      <c r="B1539" s="1">
        <v>44756</v>
      </c>
    </row>
    <row r="1540" spans="1:2" x14ac:dyDescent="0.25">
      <c r="A1540">
        <v>309041</v>
      </c>
      <c r="B1540" s="1">
        <v>44856</v>
      </c>
    </row>
    <row r="1541" spans="1:2" x14ac:dyDescent="0.25">
      <c r="A1541">
        <v>309057</v>
      </c>
      <c r="B1541" s="1">
        <v>44641</v>
      </c>
    </row>
    <row r="1542" spans="1:2" x14ac:dyDescent="0.25">
      <c r="A1542">
        <v>309062</v>
      </c>
      <c r="B1542" s="1">
        <v>44871</v>
      </c>
    </row>
    <row r="1543" spans="1:2" x14ac:dyDescent="0.25">
      <c r="A1543">
        <v>309063</v>
      </c>
      <c r="B1543" s="1">
        <v>44653</v>
      </c>
    </row>
    <row r="1544" spans="1:2" x14ac:dyDescent="0.25">
      <c r="A1544">
        <v>309065</v>
      </c>
      <c r="B1544" s="1">
        <v>44693</v>
      </c>
    </row>
    <row r="1545" spans="1:2" x14ac:dyDescent="0.25">
      <c r="A1545">
        <v>309071</v>
      </c>
      <c r="B1545" s="1">
        <v>44811</v>
      </c>
    </row>
    <row r="1546" spans="1:2" x14ac:dyDescent="0.25">
      <c r="A1546">
        <v>309075</v>
      </c>
      <c r="B1546" s="1">
        <v>44824</v>
      </c>
    </row>
    <row r="1547" spans="1:2" x14ac:dyDescent="0.25">
      <c r="A1547">
        <v>309082</v>
      </c>
      <c r="B1547" s="1">
        <v>44803</v>
      </c>
    </row>
    <row r="1548" spans="1:2" x14ac:dyDescent="0.25">
      <c r="A1548">
        <v>309086</v>
      </c>
      <c r="B1548" s="1">
        <v>44748</v>
      </c>
    </row>
    <row r="1549" spans="1:2" x14ac:dyDescent="0.25">
      <c r="A1549">
        <v>309089</v>
      </c>
      <c r="B1549" s="1">
        <v>44671</v>
      </c>
    </row>
    <row r="1550" spans="1:2" x14ac:dyDescent="0.25">
      <c r="A1550">
        <v>309095</v>
      </c>
      <c r="B1550" s="1">
        <v>44829</v>
      </c>
    </row>
    <row r="1551" spans="1:2" x14ac:dyDescent="0.25">
      <c r="A1551">
        <v>309100</v>
      </c>
      <c r="B1551" s="1">
        <v>44857</v>
      </c>
    </row>
    <row r="1552" spans="1:2" x14ac:dyDescent="0.25">
      <c r="A1552">
        <v>309110</v>
      </c>
      <c r="B1552" s="1">
        <v>44691</v>
      </c>
    </row>
    <row r="1553" spans="1:2" x14ac:dyDescent="0.25">
      <c r="A1553">
        <v>309113</v>
      </c>
      <c r="B1553" s="1">
        <v>44795</v>
      </c>
    </row>
    <row r="1554" spans="1:2" x14ac:dyDescent="0.25">
      <c r="A1554">
        <v>309118</v>
      </c>
      <c r="B1554" s="1">
        <v>44901</v>
      </c>
    </row>
    <row r="1555" spans="1:2" x14ac:dyDescent="0.25">
      <c r="A1555">
        <v>307001</v>
      </c>
      <c r="B1555" s="1">
        <v>44924</v>
      </c>
    </row>
    <row r="1556" spans="1:2" x14ac:dyDescent="0.25">
      <c r="A1556">
        <v>307002</v>
      </c>
      <c r="B1556" s="1">
        <v>44936</v>
      </c>
    </row>
    <row r="1557" spans="1:2" x14ac:dyDescent="0.25">
      <c r="A1557">
        <v>307013</v>
      </c>
      <c r="B1557" s="1">
        <v>44657</v>
      </c>
    </row>
    <row r="1558" spans="1:2" x14ac:dyDescent="0.25">
      <c r="A1558">
        <v>307022</v>
      </c>
      <c r="B1558" s="1">
        <v>44774</v>
      </c>
    </row>
    <row r="1559" spans="1:2" x14ac:dyDescent="0.25">
      <c r="A1559">
        <v>307031</v>
      </c>
      <c r="B1559" s="1">
        <v>44950</v>
      </c>
    </row>
    <row r="1560" spans="1:2" x14ac:dyDescent="0.25">
      <c r="A1560">
        <v>307081</v>
      </c>
      <c r="B1560" s="1">
        <v>44881</v>
      </c>
    </row>
    <row r="1561" spans="1:2" x14ac:dyDescent="0.25">
      <c r="A1561">
        <v>307091</v>
      </c>
      <c r="B1561" s="1">
        <v>44879</v>
      </c>
    </row>
    <row r="1562" spans="1:2" x14ac:dyDescent="0.25">
      <c r="A1562">
        <v>307094</v>
      </c>
      <c r="B1562" s="1">
        <v>44707</v>
      </c>
    </row>
    <row r="1563" spans="1:2" x14ac:dyDescent="0.25">
      <c r="A1563">
        <v>307095</v>
      </c>
      <c r="B1563" s="1">
        <v>44851</v>
      </c>
    </row>
    <row r="1564" spans="1:2" x14ac:dyDescent="0.25">
      <c r="A1564">
        <v>307131</v>
      </c>
      <c r="B1564" s="1">
        <v>44893</v>
      </c>
    </row>
    <row r="1565" spans="1:2" x14ac:dyDescent="0.25">
      <c r="A1565">
        <v>307143</v>
      </c>
      <c r="B1565" s="1">
        <v>44896</v>
      </c>
    </row>
    <row r="1566" spans="1:2" x14ac:dyDescent="0.25">
      <c r="A1566">
        <v>307149</v>
      </c>
      <c r="B1566" s="1">
        <v>44842</v>
      </c>
    </row>
    <row r="1567" spans="1:2" x14ac:dyDescent="0.25">
      <c r="A1567">
        <v>307153</v>
      </c>
      <c r="B1567" s="1">
        <v>44718</v>
      </c>
    </row>
    <row r="1568" spans="1:2" x14ac:dyDescent="0.25">
      <c r="A1568">
        <v>307154</v>
      </c>
      <c r="B1568" s="1">
        <v>44838</v>
      </c>
    </row>
    <row r="1569" spans="1:2" x14ac:dyDescent="0.25">
      <c r="A1569">
        <v>307159</v>
      </c>
      <c r="B1569" s="1">
        <v>44656</v>
      </c>
    </row>
    <row r="1570" spans="1:2" x14ac:dyDescent="0.25">
      <c r="A1570">
        <v>307161</v>
      </c>
      <c r="B1570" s="1">
        <v>44722</v>
      </c>
    </row>
    <row r="1571" spans="1:2" x14ac:dyDescent="0.25">
      <c r="A1571">
        <v>307166</v>
      </c>
      <c r="B1571" s="1">
        <v>44880</v>
      </c>
    </row>
    <row r="1572" spans="1:2" x14ac:dyDescent="0.25">
      <c r="A1572">
        <v>307169</v>
      </c>
      <c r="B1572" s="1">
        <v>44668</v>
      </c>
    </row>
    <row r="1573" spans="1:2" x14ac:dyDescent="0.25">
      <c r="A1573">
        <v>307183</v>
      </c>
      <c r="B1573" s="1">
        <v>44667</v>
      </c>
    </row>
    <row r="1574" spans="1:2" x14ac:dyDescent="0.25">
      <c r="A1574">
        <v>307190</v>
      </c>
      <c r="B1574" s="1">
        <v>44672</v>
      </c>
    </row>
    <row r="1575" spans="1:2" x14ac:dyDescent="0.25">
      <c r="A1575">
        <v>307192</v>
      </c>
      <c r="B1575" s="1">
        <v>44685</v>
      </c>
    </row>
    <row r="1576" spans="1:2" x14ac:dyDescent="0.25">
      <c r="A1576">
        <v>307200</v>
      </c>
      <c r="B1576" s="1">
        <v>44715</v>
      </c>
    </row>
    <row r="1577" spans="1:2" x14ac:dyDescent="0.25">
      <c r="A1577">
        <v>307226</v>
      </c>
      <c r="B1577" s="1">
        <v>44799</v>
      </c>
    </row>
    <row r="1578" spans="1:2" x14ac:dyDescent="0.25">
      <c r="A1578">
        <v>307227</v>
      </c>
      <c r="B1578" s="1">
        <v>44695</v>
      </c>
    </row>
    <row r="1579" spans="1:2" x14ac:dyDescent="0.25">
      <c r="A1579">
        <v>307231</v>
      </c>
      <c r="B1579" s="1">
        <v>44751</v>
      </c>
    </row>
    <row r="1580" spans="1:2" x14ac:dyDescent="0.25">
      <c r="A1580">
        <v>307237</v>
      </c>
      <c r="B1580" s="1">
        <v>44736</v>
      </c>
    </row>
    <row r="1581" spans="1:2" x14ac:dyDescent="0.25">
      <c r="A1581">
        <v>307239</v>
      </c>
      <c r="B1581" s="1">
        <v>44668</v>
      </c>
    </row>
    <row r="1582" spans="1:2" x14ac:dyDescent="0.25">
      <c r="A1582">
        <v>307252</v>
      </c>
      <c r="B1582" s="1">
        <v>44669</v>
      </c>
    </row>
    <row r="1583" spans="1:2" x14ac:dyDescent="0.25">
      <c r="A1583">
        <v>307261</v>
      </c>
      <c r="B1583" s="1">
        <v>44751</v>
      </c>
    </row>
    <row r="1584" spans="1:2" x14ac:dyDescent="0.25">
      <c r="A1584">
        <v>307271</v>
      </c>
      <c r="B1584" s="1">
        <v>44940</v>
      </c>
    </row>
    <row r="1585" spans="1:2" x14ac:dyDescent="0.25">
      <c r="A1585">
        <v>307276</v>
      </c>
      <c r="B1585" s="1">
        <v>44828</v>
      </c>
    </row>
    <row r="1586" spans="1:2" x14ac:dyDescent="0.25">
      <c r="A1586">
        <v>307304</v>
      </c>
      <c r="B1586" s="1">
        <v>44887</v>
      </c>
    </row>
    <row r="1587" spans="1:2" x14ac:dyDescent="0.25">
      <c r="A1587">
        <v>307308</v>
      </c>
      <c r="B1587" s="1">
        <v>44719</v>
      </c>
    </row>
    <row r="1588" spans="1:2" x14ac:dyDescent="0.25">
      <c r="A1588">
        <v>307309</v>
      </c>
      <c r="B1588" s="1">
        <v>44899</v>
      </c>
    </row>
    <row r="1589" spans="1:2" x14ac:dyDescent="0.25">
      <c r="A1589">
        <v>307313</v>
      </c>
      <c r="B1589" s="1">
        <v>44810</v>
      </c>
    </row>
    <row r="1590" spans="1:2" x14ac:dyDescent="0.25">
      <c r="A1590">
        <v>307316</v>
      </c>
      <c r="B1590" s="1">
        <v>44937</v>
      </c>
    </row>
    <row r="1591" spans="1:2" x14ac:dyDescent="0.25">
      <c r="A1591">
        <v>307328</v>
      </c>
      <c r="B1591" s="1">
        <v>44790</v>
      </c>
    </row>
    <row r="1592" spans="1:2" x14ac:dyDescent="0.25">
      <c r="A1592">
        <v>307331</v>
      </c>
      <c r="B1592" s="1">
        <v>44854</v>
      </c>
    </row>
    <row r="1593" spans="1:2" x14ac:dyDescent="0.25">
      <c r="A1593">
        <v>307336</v>
      </c>
      <c r="B1593" s="1">
        <v>44660</v>
      </c>
    </row>
    <row r="1594" spans="1:2" x14ac:dyDescent="0.25">
      <c r="A1594">
        <v>307356</v>
      </c>
      <c r="B1594" s="1">
        <v>44724</v>
      </c>
    </row>
    <row r="1595" spans="1:2" x14ac:dyDescent="0.25">
      <c r="A1595">
        <v>307357</v>
      </c>
      <c r="B1595" s="1">
        <v>44706</v>
      </c>
    </row>
    <row r="1596" spans="1:2" x14ac:dyDescent="0.25">
      <c r="A1596">
        <v>307363</v>
      </c>
      <c r="B1596" s="1">
        <v>44834</v>
      </c>
    </row>
    <row r="1597" spans="1:2" x14ac:dyDescent="0.25">
      <c r="A1597">
        <v>307365</v>
      </c>
      <c r="B1597" s="1">
        <v>44836</v>
      </c>
    </row>
    <row r="1598" spans="1:2" x14ac:dyDescent="0.25">
      <c r="A1598">
        <v>307378</v>
      </c>
      <c r="B1598" s="1">
        <v>44727</v>
      </c>
    </row>
    <row r="1599" spans="1:2" x14ac:dyDescent="0.25">
      <c r="A1599">
        <v>307381</v>
      </c>
      <c r="B1599" s="1">
        <v>44701</v>
      </c>
    </row>
    <row r="1600" spans="1:2" x14ac:dyDescent="0.25">
      <c r="A1600">
        <v>307385</v>
      </c>
      <c r="B1600" s="1">
        <v>44956</v>
      </c>
    </row>
    <row r="1601" spans="1:2" x14ac:dyDescent="0.25">
      <c r="A1601">
        <v>307412</v>
      </c>
      <c r="B1601" s="1">
        <v>44933</v>
      </c>
    </row>
    <row r="1602" spans="1:2" x14ac:dyDescent="0.25">
      <c r="A1602">
        <v>307421</v>
      </c>
      <c r="B1602" s="1">
        <v>44780</v>
      </c>
    </row>
    <row r="1603" spans="1:2" x14ac:dyDescent="0.25">
      <c r="A1603">
        <v>307444</v>
      </c>
      <c r="B1603" s="1">
        <v>44715</v>
      </c>
    </row>
    <row r="1604" spans="1:2" x14ac:dyDescent="0.25">
      <c r="A1604">
        <v>307463</v>
      </c>
      <c r="B1604" s="1">
        <v>44740</v>
      </c>
    </row>
    <row r="1605" spans="1:2" x14ac:dyDescent="0.25">
      <c r="A1605">
        <v>307476</v>
      </c>
      <c r="B1605" s="1">
        <v>44831</v>
      </c>
    </row>
    <row r="1606" spans="1:2" x14ac:dyDescent="0.25">
      <c r="A1606">
        <v>307479</v>
      </c>
      <c r="B1606" s="1">
        <v>44836</v>
      </c>
    </row>
    <row r="1607" spans="1:2" x14ac:dyDescent="0.25">
      <c r="A1607">
        <v>307482</v>
      </c>
      <c r="B1607" s="1">
        <v>44943</v>
      </c>
    </row>
    <row r="1608" spans="1:2" x14ac:dyDescent="0.25">
      <c r="A1608">
        <v>307486</v>
      </c>
      <c r="B1608" s="1">
        <v>44935</v>
      </c>
    </row>
    <row r="1609" spans="1:2" x14ac:dyDescent="0.25">
      <c r="A1609">
        <v>307491</v>
      </c>
      <c r="B1609" s="1">
        <v>44813</v>
      </c>
    </row>
    <row r="1610" spans="1:2" x14ac:dyDescent="0.25">
      <c r="A1610">
        <v>307513</v>
      </c>
      <c r="B1610" s="1">
        <v>44925</v>
      </c>
    </row>
    <row r="1611" spans="1:2" x14ac:dyDescent="0.25">
      <c r="A1611">
        <v>307517</v>
      </c>
      <c r="B1611" s="1">
        <v>44879</v>
      </c>
    </row>
    <row r="1612" spans="1:2" x14ac:dyDescent="0.25">
      <c r="A1612">
        <v>307525</v>
      </c>
      <c r="B1612" s="1">
        <v>44931</v>
      </c>
    </row>
    <row r="1613" spans="1:2" x14ac:dyDescent="0.25">
      <c r="A1613">
        <v>307531</v>
      </c>
      <c r="B1613" s="1">
        <v>44881</v>
      </c>
    </row>
    <row r="1614" spans="1:2" x14ac:dyDescent="0.25">
      <c r="A1614">
        <v>307532</v>
      </c>
      <c r="B1614" s="1">
        <v>44729</v>
      </c>
    </row>
    <row r="1615" spans="1:2" x14ac:dyDescent="0.25">
      <c r="A1615">
        <v>307545</v>
      </c>
      <c r="B1615" s="1">
        <v>44887</v>
      </c>
    </row>
    <row r="1616" spans="1:2" x14ac:dyDescent="0.25">
      <c r="A1616">
        <v>307561</v>
      </c>
      <c r="B1616" s="1">
        <v>44706</v>
      </c>
    </row>
    <row r="1617" spans="1:2" x14ac:dyDescent="0.25">
      <c r="A1617">
        <v>307562</v>
      </c>
      <c r="B1617" s="1">
        <v>44878</v>
      </c>
    </row>
    <row r="1618" spans="1:2" x14ac:dyDescent="0.25">
      <c r="A1618">
        <v>307581</v>
      </c>
      <c r="B1618" s="1">
        <v>44715</v>
      </c>
    </row>
    <row r="1619" spans="1:2" x14ac:dyDescent="0.25">
      <c r="A1619">
        <v>307587</v>
      </c>
      <c r="B1619" s="1">
        <v>44667</v>
      </c>
    </row>
    <row r="1620" spans="1:2" x14ac:dyDescent="0.25">
      <c r="A1620">
        <v>307596</v>
      </c>
      <c r="B1620" s="1">
        <v>44821</v>
      </c>
    </row>
    <row r="1621" spans="1:2" x14ac:dyDescent="0.25">
      <c r="A1621">
        <v>307613</v>
      </c>
      <c r="B1621" s="1">
        <v>44706</v>
      </c>
    </row>
    <row r="1622" spans="1:2" x14ac:dyDescent="0.25">
      <c r="A1622">
        <v>307614</v>
      </c>
      <c r="B1622" s="1">
        <v>44874</v>
      </c>
    </row>
    <row r="1623" spans="1:2" x14ac:dyDescent="0.25">
      <c r="A1623">
        <v>307621</v>
      </c>
      <c r="B1623" s="1">
        <v>44780</v>
      </c>
    </row>
    <row r="1624" spans="1:2" x14ac:dyDescent="0.25">
      <c r="A1624">
        <v>307650</v>
      </c>
      <c r="B1624" s="1">
        <v>44896</v>
      </c>
    </row>
    <row r="1625" spans="1:2" x14ac:dyDescent="0.25">
      <c r="A1625">
        <v>307657</v>
      </c>
      <c r="B1625" s="1">
        <v>44771</v>
      </c>
    </row>
    <row r="1626" spans="1:2" x14ac:dyDescent="0.25">
      <c r="A1626">
        <v>307679</v>
      </c>
      <c r="B1626" s="1">
        <v>44933</v>
      </c>
    </row>
    <row r="1627" spans="1:2" x14ac:dyDescent="0.25">
      <c r="A1627">
        <v>307683</v>
      </c>
      <c r="B1627" s="1">
        <v>44846</v>
      </c>
    </row>
    <row r="1628" spans="1:2" x14ac:dyDescent="0.25">
      <c r="A1628">
        <v>307703</v>
      </c>
      <c r="B1628" s="1">
        <v>44901</v>
      </c>
    </row>
    <row r="1629" spans="1:2" x14ac:dyDescent="0.25">
      <c r="A1629">
        <v>307723</v>
      </c>
      <c r="B1629" s="1">
        <v>44739</v>
      </c>
    </row>
    <row r="1630" spans="1:2" x14ac:dyDescent="0.25">
      <c r="A1630">
        <v>307732</v>
      </c>
      <c r="B1630" s="1">
        <v>44854</v>
      </c>
    </row>
    <row r="1631" spans="1:2" x14ac:dyDescent="0.25">
      <c r="A1631">
        <v>307749</v>
      </c>
      <c r="B1631" s="1">
        <v>44912</v>
      </c>
    </row>
    <row r="1632" spans="1:2" x14ac:dyDescent="0.25">
      <c r="A1632">
        <v>307763</v>
      </c>
      <c r="B1632" s="1">
        <v>44915</v>
      </c>
    </row>
    <row r="1633" spans="1:2" x14ac:dyDescent="0.25">
      <c r="A1633">
        <v>307764</v>
      </c>
      <c r="B1633" s="1">
        <v>44723</v>
      </c>
    </row>
    <row r="1634" spans="1:2" x14ac:dyDescent="0.25">
      <c r="A1634">
        <v>307772</v>
      </c>
      <c r="B1634" s="1">
        <v>44685</v>
      </c>
    </row>
    <row r="1635" spans="1:2" x14ac:dyDescent="0.25">
      <c r="A1635">
        <v>307774</v>
      </c>
      <c r="B1635" s="1">
        <v>44727</v>
      </c>
    </row>
    <row r="1636" spans="1:2" x14ac:dyDescent="0.25">
      <c r="A1636">
        <v>307843</v>
      </c>
      <c r="B1636" s="1">
        <v>44665</v>
      </c>
    </row>
    <row r="1637" spans="1:2" x14ac:dyDescent="0.25">
      <c r="A1637">
        <v>307891</v>
      </c>
      <c r="B1637" s="1">
        <v>44669</v>
      </c>
    </row>
    <row r="1638" spans="1:2" x14ac:dyDescent="0.25">
      <c r="A1638">
        <v>307897</v>
      </c>
      <c r="B1638" s="1">
        <v>44682</v>
      </c>
    </row>
    <row r="1639" spans="1:2" x14ac:dyDescent="0.25">
      <c r="A1639">
        <v>307901</v>
      </c>
      <c r="B1639" s="1">
        <v>44724</v>
      </c>
    </row>
    <row r="1640" spans="1:2" x14ac:dyDescent="0.25">
      <c r="A1640">
        <v>307915</v>
      </c>
      <c r="B1640" s="1">
        <v>44895</v>
      </c>
    </row>
    <row r="1641" spans="1:2" x14ac:dyDescent="0.25">
      <c r="A1641">
        <v>307916</v>
      </c>
      <c r="B1641" s="1">
        <v>44822</v>
      </c>
    </row>
    <row r="1642" spans="1:2" x14ac:dyDescent="0.25">
      <c r="A1642">
        <v>307920</v>
      </c>
      <c r="B1642" s="1">
        <v>44755</v>
      </c>
    </row>
    <row r="1643" spans="1:2" x14ac:dyDescent="0.25">
      <c r="A1643">
        <v>307928</v>
      </c>
      <c r="B1643" s="1">
        <v>44696</v>
      </c>
    </row>
    <row r="1644" spans="1:2" x14ac:dyDescent="0.25">
      <c r="A1644">
        <v>307932</v>
      </c>
      <c r="B1644" s="1">
        <v>44816</v>
      </c>
    </row>
    <row r="1645" spans="1:2" x14ac:dyDescent="0.25">
      <c r="A1645">
        <v>307957</v>
      </c>
      <c r="B1645" s="1">
        <v>44914</v>
      </c>
    </row>
    <row r="1646" spans="1:2" x14ac:dyDescent="0.25">
      <c r="A1646">
        <v>307979</v>
      </c>
      <c r="B1646" s="1">
        <v>44738</v>
      </c>
    </row>
    <row r="1647" spans="1:2" x14ac:dyDescent="0.25">
      <c r="A1647">
        <v>308000</v>
      </c>
      <c r="B1647" s="1">
        <v>44886</v>
      </c>
    </row>
    <row r="1648" spans="1:2" x14ac:dyDescent="0.25">
      <c r="A1648">
        <v>308011</v>
      </c>
      <c r="B1648" s="1">
        <v>44669</v>
      </c>
    </row>
    <row r="1649" spans="1:2" x14ac:dyDescent="0.25">
      <c r="A1649">
        <v>308013</v>
      </c>
      <c r="B1649" s="1">
        <v>44943</v>
      </c>
    </row>
    <row r="1650" spans="1:2" x14ac:dyDescent="0.25">
      <c r="A1650">
        <v>308018</v>
      </c>
      <c r="B1650" s="1">
        <v>44725</v>
      </c>
    </row>
    <row r="1651" spans="1:2" x14ac:dyDescent="0.25">
      <c r="A1651">
        <v>308046</v>
      </c>
      <c r="B1651" s="1">
        <v>44931</v>
      </c>
    </row>
    <row r="1652" spans="1:2" x14ac:dyDescent="0.25">
      <c r="A1652">
        <v>308051</v>
      </c>
      <c r="B1652" s="1">
        <v>44662</v>
      </c>
    </row>
    <row r="1653" spans="1:2" x14ac:dyDescent="0.25">
      <c r="A1653">
        <v>308063</v>
      </c>
      <c r="B1653" s="1">
        <v>44703</v>
      </c>
    </row>
    <row r="1654" spans="1:2" x14ac:dyDescent="0.25">
      <c r="A1654">
        <v>308073</v>
      </c>
      <c r="B1654" s="1">
        <v>44833</v>
      </c>
    </row>
    <row r="1655" spans="1:2" x14ac:dyDescent="0.25">
      <c r="A1655">
        <v>308077</v>
      </c>
      <c r="B1655" s="1">
        <v>44749</v>
      </c>
    </row>
    <row r="1656" spans="1:2" x14ac:dyDescent="0.25">
      <c r="A1656">
        <v>308085</v>
      </c>
      <c r="B1656" s="1">
        <v>44719</v>
      </c>
    </row>
    <row r="1657" spans="1:2" x14ac:dyDescent="0.25">
      <c r="A1657">
        <v>308090</v>
      </c>
      <c r="B1657" s="1">
        <v>44850</v>
      </c>
    </row>
    <row r="1658" spans="1:2" x14ac:dyDescent="0.25">
      <c r="A1658">
        <v>308101</v>
      </c>
      <c r="B1658" s="1">
        <v>44699</v>
      </c>
    </row>
    <row r="1659" spans="1:2" x14ac:dyDescent="0.25">
      <c r="A1659">
        <v>308118</v>
      </c>
      <c r="B1659" s="1">
        <v>44921</v>
      </c>
    </row>
    <row r="1660" spans="1:2" x14ac:dyDescent="0.25">
      <c r="A1660">
        <v>308163</v>
      </c>
      <c r="B1660" s="1">
        <v>44822</v>
      </c>
    </row>
    <row r="1661" spans="1:2" x14ac:dyDescent="0.25">
      <c r="A1661">
        <v>308169</v>
      </c>
      <c r="B1661" s="1">
        <v>44886</v>
      </c>
    </row>
    <row r="1662" spans="1:2" x14ac:dyDescent="0.25">
      <c r="A1662">
        <v>308173</v>
      </c>
      <c r="B1662" s="1">
        <v>44824</v>
      </c>
    </row>
    <row r="1663" spans="1:2" x14ac:dyDescent="0.25">
      <c r="A1663">
        <v>308175</v>
      </c>
      <c r="B1663" s="1">
        <v>44687</v>
      </c>
    </row>
    <row r="1664" spans="1:2" x14ac:dyDescent="0.25">
      <c r="A1664">
        <v>308177</v>
      </c>
      <c r="B1664" s="1">
        <v>44863</v>
      </c>
    </row>
    <row r="1665" spans="1:2" x14ac:dyDescent="0.25">
      <c r="A1665">
        <v>308179</v>
      </c>
      <c r="B1665" s="1">
        <v>44836</v>
      </c>
    </row>
    <row r="1666" spans="1:2" x14ac:dyDescent="0.25">
      <c r="A1666">
        <v>308194</v>
      </c>
      <c r="B1666" s="1">
        <v>44901</v>
      </c>
    </row>
    <row r="1667" spans="1:2" x14ac:dyDescent="0.25">
      <c r="A1667">
        <v>308201</v>
      </c>
      <c r="B1667" s="1">
        <v>44795</v>
      </c>
    </row>
    <row r="1668" spans="1:2" x14ac:dyDescent="0.25">
      <c r="A1668">
        <v>308217</v>
      </c>
      <c r="B1668" s="1">
        <v>44666</v>
      </c>
    </row>
    <row r="1669" spans="1:2" x14ac:dyDescent="0.25">
      <c r="A1669">
        <v>308222</v>
      </c>
      <c r="B1669" s="1">
        <v>44750</v>
      </c>
    </row>
    <row r="1670" spans="1:2" x14ac:dyDescent="0.25">
      <c r="A1670">
        <v>308223</v>
      </c>
      <c r="B1670" s="1">
        <v>44657</v>
      </c>
    </row>
    <row r="1671" spans="1:2" x14ac:dyDescent="0.25">
      <c r="A1671">
        <v>308231</v>
      </c>
      <c r="B1671" s="1">
        <v>44840</v>
      </c>
    </row>
    <row r="1672" spans="1:2" x14ac:dyDescent="0.25">
      <c r="A1672">
        <v>308256</v>
      </c>
      <c r="B1672" s="1">
        <v>44906</v>
      </c>
    </row>
    <row r="1673" spans="1:2" x14ac:dyDescent="0.25">
      <c r="A1673">
        <v>308258</v>
      </c>
      <c r="B1673" s="1">
        <v>44837</v>
      </c>
    </row>
    <row r="1674" spans="1:2" x14ac:dyDescent="0.25">
      <c r="A1674">
        <v>308263</v>
      </c>
      <c r="B1674" s="1">
        <v>44695</v>
      </c>
    </row>
    <row r="1675" spans="1:2" x14ac:dyDescent="0.25">
      <c r="A1675">
        <v>308266</v>
      </c>
      <c r="B1675" s="1">
        <v>44795</v>
      </c>
    </row>
    <row r="1676" spans="1:2" x14ac:dyDescent="0.25">
      <c r="A1676">
        <v>308270</v>
      </c>
      <c r="B1676" s="1">
        <v>44775</v>
      </c>
    </row>
    <row r="1677" spans="1:2" x14ac:dyDescent="0.25">
      <c r="A1677">
        <v>308272</v>
      </c>
      <c r="B1677" s="1">
        <v>44666</v>
      </c>
    </row>
    <row r="1678" spans="1:2" x14ac:dyDescent="0.25">
      <c r="A1678">
        <v>308274</v>
      </c>
      <c r="B1678" s="1">
        <v>44901</v>
      </c>
    </row>
    <row r="1679" spans="1:2" x14ac:dyDescent="0.25">
      <c r="A1679">
        <v>308275</v>
      </c>
      <c r="B1679" s="1">
        <v>44845</v>
      </c>
    </row>
    <row r="1680" spans="1:2" x14ac:dyDescent="0.25">
      <c r="A1680">
        <v>308278</v>
      </c>
      <c r="B1680" s="1">
        <v>44688</v>
      </c>
    </row>
    <row r="1681" spans="1:2" x14ac:dyDescent="0.25">
      <c r="A1681">
        <v>308282</v>
      </c>
      <c r="B1681" s="1">
        <v>44668</v>
      </c>
    </row>
    <row r="1682" spans="1:2" x14ac:dyDescent="0.25">
      <c r="A1682">
        <v>308286</v>
      </c>
      <c r="B1682" s="1">
        <v>44704</v>
      </c>
    </row>
    <row r="1683" spans="1:2" x14ac:dyDescent="0.25">
      <c r="A1683">
        <v>308313</v>
      </c>
      <c r="B1683" s="1">
        <v>44679</v>
      </c>
    </row>
    <row r="1684" spans="1:2" x14ac:dyDescent="0.25">
      <c r="A1684">
        <v>308318</v>
      </c>
      <c r="B1684" s="1">
        <v>44714</v>
      </c>
    </row>
    <row r="1685" spans="1:2" x14ac:dyDescent="0.25">
      <c r="A1685">
        <v>308323</v>
      </c>
      <c r="B1685" s="1">
        <v>44848</v>
      </c>
    </row>
    <row r="1686" spans="1:2" x14ac:dyDescent="0.25">
      <c r="A1686">
        <v>308328</v>
      </c>
      <c r="B1686" s="1">
        <v>44684</v>
      </c>
    </row>
    <row r="1687" spans="1:2" x14ac:dyDescent="0.25">
      <c r="A1687">
        <v>308340</v>
      </c>
      <c r="B1687" s="1">
        <v>44684</v>
      </c>
    </row>
    <row r="1688" spans="1:2" x14ac:dyDescent="0.25">
      <c r="A1688">
        <v>308348</v>
      </c>
      <c r="B1688" s="1">
        <v>44955</v>
      </c>
    </row>
    <row r="1689" spans="1:2" x14ac:dyDescent="0.25">
      <c r="A1689">
        <v>308352</v>
      </c>
      <c r="B1689" s="1">
        <v>44691</v>
      </c>
    </row>
    <row r="1690" spans="1:2" x14ac:dyDescent="0.25">
      <c r="A1690">
        <v>308361</v>
      </c>
      <c r="B1690" s="1">
        <v>44930</v>
      </c>
    </row>
    <row r="1691" spans="1:2" x14ac:dyDescent="0.25">
      <c r="A1691">
        <v>308387</v>
      </c>
      <c r="B1691" s="1">
        <v>44841</v>
      </c>
    </row>
    <row r="1692" spans="1:2" x14ac:dyDescent="0.25">
      <c r="A1692">
        <v>308392</v>
      </c>
      <c r="B1692" s="1">
        <v>44860</v>
      </c>
    </row>
    <row r="1693" spans="1:2" x14ac:dyDescent="0.25">
      <c r="A1693">
        <v>308397</v>
      </c>
      <c r="B1693" s="1">
        <v>44803</v>
      </c>
    </row>
    <row r="1694" spans="1:2" x14ac:dyDescent="0.25">
      <c r="A1694">
        <v>308400</v>
      </c>
      <c r="B1694" s="1">
        <v>44844</v>
      </c>
    </row>
    <row r="1695" spans="1:2" x14ac:dyDescent="0.25">
      <c r="A1695">
        <v>308405</v>
      </c>
      <c r="B1695" s="1">
        <v>44852</v>
      </c>
    </row>
    <row r="1696" spans="1:2" x14ac:dyDescent="0.25">
      <c r="A1696">
        <v>308414</v>
      </c>
      <c r="B1696" s="1">
        <v>44694</v>
      </c>
    </row>
    <row r="1697" spans="1:2" x14ac:dyDescent="0.25">
      <c r="A1697">
        <v>308416</v>
      </c>
      <c r="B1697" s="1">
        <v>44839</v>
      </c>
    </row>
    <row r="1698" spans="1:2" x14ac:dyDescent="0.25">
      <c r="A1698">
        <v>308442</v>
      </c>
      <c r="B1698" s="1">
        <v>44690</v>
      </c>
    </row>
    <row r="1699" spans="1:2" x14ac:dyDescent="0.25">
      <c r="A1699">
        <v>308445</v>
      </c>
      <c r="B1699" s="1">
        <v>44724</v>
      </c>
    </row>
    <row r="1700" spans="1:2" x14ac:dyDescent="0.25">
      <c r="A1700">
        <v>308447</v>
      </c>
      <c r="B1700" s="1">
        <v>44786</v>
      </c>
    </row>
    <row r="1701" spans="1:2" x14ac:dyDescent="0.25">
      <c r="A1701">
        <v>308456</v>
      </c>
      <c r="B1701" s="1">
        <v>44946</v>
      </c>
    </row>
    <row r="1702" spans="1:2" x14ac:dyDescent="0.25">
      <c r="A1702">
        <v>308468</v>
      </c>
      <c r="B1702" s="1">
        <v>44791</v>
      </c>
    </row>
    <row r="1703" spans="1:2" x14ac:dyDescent="0.25">
      <c r="A1703">
        <v>308473</v>
      </c>
      <c r="B1703" s="1">
        <v>44924</v>
      </c>
    </row>
    <row r="1704" spans="1:2" x14ac:dyDescent="0.25">
      <c r="A1704">
        <v>308474</v>
      </c>
      <c r="B1704" s="1">
        <v>44679</v>
      </c>
    </row>
    <row r="1705" spans="1:2" x14ac:dyDescent="0.25">
      <c r="A1705">
        <v>308479</v>
      </c>
      <c r="B1705" s="1">
        <v>44853</v>
      </c>
    </row>
    <row r="1706" spans="1:2" x14ac:dyDescent="0.25">
      <c r="A1706">
        <v>308480</v>
      </c>
      <c r="B1706" s="1">
        <v>44780</v>
      </c>
    </row>
    <row r="1707" spans="1:2" x14ac:dyDescent="0.25">
      <c r="A1707">
        <v>308481</v>
      </c>
      <c r="B1707" s="1">
        <v>44947</v>
      </c>
    </row>
    <row r="1708" spans="1:2" x14ac:dyDescent="0.25">
      <c r="A1708">
        <v>308483</v>
      </c>
      <c r="B1708" s="1">
        <v>44882</v>
      </c>
    </row>
    <row r="1709" spans="1:2" x14ac:dyDescent="0.25">
      <c r="A1709">
        <v>308488</v>
      </c>
      <c r="B1709" s="1">
        <v>44689</v>
      </c>
    </row>
    <row r="1710" spans="1:2" x14ac:dyDescent="0.25">
      <c r="A1710">
        <v>308498</v>
      </c>
      <c r="B1710" s="1">
        <v>44875</v>
      </c>
    </row>
    <row r="1711" spans="1:2" x14ac:dyDescent="0.25">
      <c r="A1711">
        <v>308514</v>
      </c>
      <c r="B1711" s="1">
        <v>44693</v>
      </c>
    </row>
    <row r="1712" spans="1:2" x14ac:dyDescent="0.25">
      <c r="A1712">
        <v>308515</v>
      </c>
      <c r="B1712" s="1">
        <v>44671</v>
      </c>
    </row>
    <row r="1713" spans="1:2" x14ac:dyDescent="0.25">
      <c r="A1713">
        <v>308524</v>
      </c>
      <c r="B1713" s="1">
        <v>44821</v>
      </c>
    </row>
    <row r="1714" spans="1:2" x14ac:dyDescent="0.25">
      <c r="A1714">
        <v>308534</v>
      </c>
      <c r="B1714" s="1">
        <v>44903</v>
      </c>
    </row>
    <row r="1715" spans="1:2" x14ac:dyDescent="0.25">
      <c r="A1715">
        <v>308536</v>
      </c>
      <c r="B1715" s="1">
        <v>44847</v>
      </c>
    </row>
    <row r="1716" spans="1:2" x14ac:dyDescent="0.25">
      <c r="A1716">
        <v>308551</v>
      </c>
      <c r="B1716" s="1">
        <v>44900</v>
      </c>
    </row>
    <row r="1717" spans="1:2" x14ac:dyDescent="0.25">
      <c r="A1717">
        <v>308564</v>
      </c>
      <c r="B1717" s="1">
        <v>44904</v>
      </c>
    </row>
    <row r="1718" spans="1:2" x14ac:dyDescent="0.25">
      <c r="A1718">
        <v>308612</v>
      </c>
      <c r="B1718" s="1">
        <v>44839</v>
      </c>
    </row>
    <row r="1719" spans="1:2" x14ac:dyDescent="0.25">
      <c r="A1719">
        <v>308616</v>
      </c>
      <c r="B1719" s="1">
        <v>44722</v>
      </c>
    </row>
    <row r="1720" spans="1:2" x14ac:dyDescent="0.25">
      <c r="A1720">
        <v>308621</v>
      </c>
      <c r="B1720" s="1">
        <v>44831</v>
      </c>
    </row>
    <row r="1721" spans="1:2" x14ac:dyDescent="0.25">
      <c r="A1721">
        <v>308625</v>
      </c>
      <c r="B1721" s="1">
        <v>44749</v>
      </c>
    </row>
    <row r="1722" spans="1:2" x14ac:dyDescent="0.25">
      <c r="A1722">
        <v>308626</v>
      </c>
      <c r="B1722" s="1">
        <v>44808</v>
      </c>
    </row>
    <row r="1723" spans="1:2" x14ac:dyDescent="0.25">
      <c r="A1723">
        <v>308630</v>
      </c>
      <c r="B1723" s="1">
        <v>44718</v>
      </c>
    </row>
    <row r="1724" spans="1:2" x14ac:dyDescent="0.25">
      <c r="A1724">
        <v>308635</v>
      </c>
      <c r="B1724" s="1">
        <v>44749</v>
      </c>
    </row>
    <row r="1725" spans="1:2" x14ac:dyDescent="0.25">
      <c r="A1725">
        <v>308642</v>
      </c>
      <c r="B1725" s="1">
        <v>44723</v>
      </c>
    </row>
    <row r="1726" spans="1:2" x14ac:dyDescent="0.25">
      <c r="A1726">
        <v>308664</v>
      </c>
      <c r="B1726" s="1">
        <v>44931</v>
      </c>
    </row>
    <row r="1727" spans="1:2" x14ac:dyDescent="0.25">
      <c r="A1727">
        <v>308672</v>
      </c>
      <c r="B1727" s="1">
        <v>44766</v>
      </c>
    </row>
    <row r="1728" spans="1:2" x14ac:dyDescent="0.25">
      <c r="A1728">
        <v>308677</v>
      </c>
      <c r="B1728" s="1">
        <v>44892</v>
      </c>
    </row>
    <row r="1729" spans="1:2" x14ac:dyDescent="0.25">
      <c r="A1729">
        <v>308687</v>
      </c>
      <c r="B1729" s="1">
        <v>44892</v>
      </c>
    </row>
    <row r="1730" spans="1:2" x14ac:dyDescent="0.25">
      <c r="A1730">
        <v>308691</v>
      </c>
      <c r="B1730" s="1">
        <v>44802</v>
      </c>
    </row>
    <row r="1731" spans="1:2" x14ac:dyDescent="0.25">
      <c r="A1731">
        <v>308706</v>
      </c>
      <c r="B1731" s="1">
        <v>44740</v>
      </c>
    </row>
    <row r="1732" spans="1:2" x14ac:dyDescent="0.25">
      <c r="A1732">
        <v>308717</v>
      </c>
      <c r="B1732" s="1">
        <v>44923</v>
      </c>
    </row>
    <row r="1733" spans="1:2" x14ac:dyDescent="0.25">
      <c r="A1733">
        <v>308725</v>
      </c>
      <c r="B1733" s="1">
        <v>44750</v>
      </c>
    </row>
    <row r="1734" spans="1:2" x14ac:dyDescent="0.25">
      <c r="A1734">
        <v>308731</v>
      </c>
      <c r="B1734" s="1">
        <v>44914</v>
      </c>
    </row>
    <row r="1735" spans="1:2" x14ac:dyDescent="0.25">
      <c r="A1735">
        <v>308733</v>
      </c>
      <c r="B1735" s="1">
        <v>44728</v>
      </c>
    </row>
    <row r="1736" spans="1:2" x14ac:dyDescent="0.25">
      <c r="A1736">
        <v>308737</v>
      </c>
      <c r="B1736" s="1">
        <v>44670</v>
      </c>
    </row>
    <row r="1737" spans="1:2" x14ac:dyDescent="0.25">
      <c r="A1737">
        <v>308745</v>
      </c>
      <c r="B1737" s="1">
        <v>44708</v>
      </c>
    </row>
    <row r="1738" spans="1:2" x14ac:dyDescent="0.25">
      <c r="A1738">
        <v>308759</v>
      </c>
      <c r="B1738" s="1">
        <v>44885</v>
      </c>
    </row>
    <row r="1739" spans="1:2" x14ac:dyDescent="0.25">
      <c r="A1739">
        <v>308767</v>
      </c>
      <c r="B1739" s="1">
        <v>44764</v>
      </c>
    </row>
    <row r="1740" spans="1:2" x14ac:dyDescent="0.25">
      <c r="A1740">
        <v>308778</v>
      </c>
      <c r="B1740" s="1">
        <v>44888</v>
      </c>
    </row>
    <row r="1741" spans="1:2" x14ac:dyDescent="0.25">
      <c r="A1741">
        <v>308788</v>
      </c>
      <c r="B1741" s="1">
        <v>44862</v>
      </c>
    </row>
    <row r="1742" spans="1:2" x14ac:dyDescent="0.25">
      <c r="A1742">
        <v>308819</v>
      </c>
      <c r="B1742" s="1">
        <v>44871</v>
      </c>
    </row>
    <row r="1743" spans="1:2" x14ac:dyDescent="0.25">
      <c r="A1743">
        <v>308830</v>
      </c>
      <c r="B1743" s="1">
        <v>44768</v>
      </c>
    </row>
    <row r="1744" spans="1:2" x14ac:dyDescent="0.25">
      <c r="A1744">
        <v>308847</v>
      </c>
      <c r="B1744" s="1">
        <v>44781</v>
      </c>
    </row>
    <row r="1745" spans="1:2" x14ac:dyDescent="0.25">
      <c r="A1745">
        <v>308857</v>
      </c>
      <c r="B1745" s="1">
        <v>44844</v>
      </c>
    </row>
    <row r="1746" spans="1:2" x14ac:dyDescent="0.25">
      <c r="A1746">
        <v>308861</v>
      </c>
      <c r="B1746" s="1">
        <v>44700</v>
      </c>
    </row>
    <row r="1747" spans="1:2" x14ac:dyDescent="0.25">
      <c r="A1747">
        <v>308872</v>
      </c>
      <c r="B1747" s="1">
        <v>44679</v>
      </c>
    </row>
    <row r="1748" spans="1:2" x14ac:dyDescent="0.25">
      <c r="A1748">
        <v>308883</v>
      </c>
      <c r="B1748" s="1">
        <v>44941</v>
      </c>
    </row>
    <row r="1749" spans="1:2" x14ac:dyDescent="0.25">
      <c r="A1749">
        <v>308890</v>
      </c>
      <c r="B1749" s="1">
        <v>44704</v>
      </c>
    </row>
    <row r="1750" spans="1:2" x14ac:dyDescent="0.25">
      <c r="A1750">
        <v>308895</v>
      </c>
      <c r="B1750" s="1">
        <v>44798</v>
      </c>
    </row>
    <row r="1751" spans="1:2" x14ac:dyDescent="0.25">
      <c r="A1751">
        <v>308903</v>
      </c>
      <c r="B1751" s="1">
        <v>44853</v>
      </c>
    </row>
    <row r="1752" spans="1:2" x14ac:dyDescent="0.25">
      <c r="A1752">
        <v>308927</v>
      </c>
      <c r="B1752" s="1">
        <v>44866</v>
      </c>
    </row>
    <row r="1753" spans="1:2" x14ac:dyDescent="0.25">
      <c r="A1753">
        <v>308935</v>
      </c>
      <c r="B1753" s="1">
        <v>44762</v>
      </c>
    </row>
    <row r="1754" spans="1:2" x14ac:dyDescent="0.25">
      <c r="A1754">
        <v>308937</v>
      </c>
      <c r="B1754" s="1">
        <v>44885</v>
      </c>
    </row>
    <row r="1755" spans="1:2" x14ac:dyDescent="0.25">
      <c r="A1755">
        <v>308942</v>
      </c>
      <c r="B1755" s="1">
        <v>44720</v>
      </c>
    </row>
    <row r="1756" spans="1:2" x14ac:dyDescent="0.25">
      <c r="A1756">
        <v>308957</v>
      </c>
      <c r="B1756" s="1">
        <v>44824</v>
      </c>
    </row>
    <row r="1757" spans="1:2" x14ac:dyDescent="0.25">
      <c r="A1757">
        <v>308964</v>
      </c>
      <c r="B1757" s="1">
        <v>44878</v>
      </c>
    </row>
    <row r="1758" spans="1:2" x14ac:dyDescent="0.25">
      <c r="A1758">
        <v>308998</v>
      </c>
      <c r="B1758" s="1">
        <v>44679</v>
      </c>
    </row>
    <row r="1759" spans="1:2" x14ac:dyDescent="0.25">
      <c r="A1759">
        <v>309002</v>
      </c>
      <c r="B1759" s="1">
        <v>44951</v>
      </c>
    </row>
    <row r="1760" spans="1:2" x14ac:dyDescent="0.25">
      <c r="A1760">
        <v>309012</v>
      </c>
      <c r="B1760" s="1">
        <v>44748</v>
      </c>
    </row>
    <row r="1761" spans="1:2" x14ac:dyDescent="0.25">
      <c r="A1761">
        <v>309018</v>
      </c>
      <c r="B1761" s="1">
        <v>44685</v>
      </c>
    </row>
    <row r="1762" spans="1:2" x14ac:dyDescent="0.25">
      <c r="A1762">
        <v>309020</v>
      </c>
      <c r="B1762" s="1">
        <v>44930</v>
      </c>
    </row>
    <row r="1763" spans="1:2" x14ac:dyDescent="0.25">
      <c r="A1763">
        <v>309021</v>
      </c>
      <c r="B1763" s="1">
        <v>44820</v>
      </c>
    </row>
    <row r="1764" spans="1:2" x14ac:dyDescent="0.25">
      <c r="A1764">
        <v>309023</v>
      </c>
      <c r="B1764" s="1">
        <v>44822</v>
      </c>
    </row>
    <row r="1765" spans="1:2" x14ac:dyDescent="0.25">
      <c r="A1765">
        <v>309036</v>
      </c>
      <c r="B1765" s="1">
        <v>44787</v>
      </c>
    </row>
    <row r="1766" spans="1:2" x14ac:dyDescent="0.25">
      <c r="A1766">
        <v>309057</v>
      </c>
      <c r="B1766" s="1">
        <v>44672</v>
      </c>
    </row>
    <row r="1767" spans="1:2" x14ac:dyDescent="0.25">
      <c r="A1767">
        <v>309062</v>
      </c>
      <c r="B1767" s="1">
        <v>44901</v>
      </c>
    </row>
    <row r="1768" spans="1:2" x14ac:dyDescent="0.25">
      <c r="A1768">
        <v>309063</v>
      </c>
      <c r="B1768" s="1">
        <v>44683</v>
      </c>
    </row>
    <row r="1769" spans="1:2" x14ac:dyDescent="0.25">
      <c r="A1769">
        <v>309065</v>
      </c>
      <c r="B1769" s="1">
        <v>44724</v>
      </c>
    </row>
    <row r="1770" spans="1:2" x14ac:dyDescent="0.25">
      <c r="A1770">
        <v>309071</v>
      </c>
      <c r="B1770" s="1">
        <v>44841</v>
      </c>
    </row>
    <row r="1771" spans="1:2" x14ac:dyDescent="0.25">
      <c r="A1771">
        <v>309086</v>
      </c>
      <c r="B1771" s="1">
        <v>44779</v>
      </c>
    </row>
    <row r="1772" spans="1:2" x14ac:dyDescent="0.25">
      <c r="A1772">
        <v>309089</v>
      </c>
      <c r="B1772" s="1">
        <v>44701</v>
      </c>
    </row>
    <row r="1773" spans="1:2" x14ac:dyDescent="0.25">
      <c r="A1773">
        <v>309095</v>
      </c>
      <c r="B1773" s="1">
        <v>44859</v>
      </c>
    </row>
    <row r="1774" spans="1:2" x14ac:dyDescent="0.25">
      <c r="A1774">
        <v>309100</v>
      </c>
      <c r="B1774" s="1">
        <v>44888</v>
      </c>
    </row>
    <row r="1775" spans="1:2" x14ac:dyDescent="0.25">
      <c r="A1775">
        <v>309118</v>
      </c>
      <c r="B1775" s="1">
        <v>44932</v>
      </c>
    </row>
    <row r="1776" spans="1:2" x14ac:dyDescent="0.25">
      <c r="A1776">
        <v>307001</v>
      </c>
      <c r="B1776" s="1">
        <v>44955</v>
      </c>
    </row>
    <row r="1777" spans="1:2" x14ac:dyDescent="0.25">
      <c r="A1777">
        <v>307002</v>
      </c>
      <c r="B1777" s="1">
        <v>44967</v>
      </c>
    </row>
    <row r="1778" spans="1:2" x14ac:dyDescent="0.25">
      <c r="A1778">
        <v>307022</v>
      </c>
      <c r="B1778" s="1">
        <v>44805</v>
      </c>
    </row>
    <row r="1779" spans="1:2" x14ac:dyDescent="0.25">
      <c r="A1779">
        <v>307031</v>
      </c>
      <c r="B1779" s="1">
        <v>44981</v>
      </c>
    </row>
    <row r="1780" spans="1:2" x14ac:dyDescent="0.25">
      <c r="A1780">
        <v>307091</v>
      </c>
      <c r="B1780" s="1">
        <v>44909</v>
      </c>
    </row>
    <row r="1781" spans="1:2" x14ac:dyDescent="0.25">
      <c r="A1781">
        <v>307094</v>
      </c>
      <c r="B1781" s="1">
        <v>44738</v>
      </c>
    </row>
    <row r="1782" spans="1:2" x14ac:dyDescent="0.25">
      <c r="A1782">
        <v>307095</v>
      </c>
      <c r="B1782" s="1">
        <v>44882</v>
      </c>
    </row>
    <row r="1783" spans="1:2" x14ac:dyDescent="0.25">
      <c r="A1783">
        <v>307131</v>
      </c>
      <c r="B1783" s="1">
        <v>44923</v>
      </c>
    </row>
    <row r="1784" spans="1:2" x14ac:dyDescent="0.25">
      <c r="A1784">
        <v>307143</v>
      </c>
      <c r="B1784" s="1">
        <v>44927</v>
      </c>
    </row>
    <row r="1785" spans="1:2" x14ac:dyDescent="0.25">
      <c r="A1785">
        <v>307149</v>
      </c>
      <c r="B1785" s="1">
        <v>44873</v>
      </c>
    </row>
    <row r="1786" spans="1:2" x14ac:dyDescent="0.25">
      <c r="A1786">
        <v>307153</v>
      </c>
      <c r="B1786" s="1">
        <v>44748</v>
      </c>
    </row>
    <row r="1787" spans="1:2" x14ac:dyDescent="0.25">
      <c r="A1787">
        <v>307154</v>
      </c>
      <c r="B1787" s="1">
        <v>44869</v>
      </c>
    </row>
    <row r="1788" spans="1:2" x14ac:dyDescent="0.25">
      <c r="A1788">
        <v>307161</v>
      </c>
      <c r="B1788" s="1">
        <v>44752</v>
      </c>
    </row>
    <row r="1789" spans="1:2" x14ac:dyDescent="0.25">
      <c r="A1789">
        <v>307192</v>
      </c>
      <c r="B1789" s="1">
        <v>44716</v>
      </c>
    </row>
    <row r="1790" spans="1:2" x14ac:dyDescent="0.25">
      <c r="A1790">
        <v>307252</v>
      </c>
      <c r="B1790" s="1">
        <v>44699</v>
      </c>
    </row>
    <row r="1791" spans="1:2" x14ac:dyDescent="0.25">
      <c r="A1791">
        <v>307261</v>
      </c>
      <c r="B1791" s="1">
        <v>44782</v>
      </c>
    </row>
    <row r="1792" spans="1:2" x14ac:dyDescent="0.25">
      <c r="A1792">
        <v>307271</v>
      </c>
      <c r="B1792" s="1">
        <v>44971</v>
      </c>
    </row>
    <row r="1793" spans="1:2" x14ac:dyDescent="0.25">
      <c r="A1793">
        <v>307304</v>
      </c>
      <c r="B1793" s="1">
        <v>44917</v>
      </c>
    </row>
    <row r="1794" spans="1:2" x14ac:dyDescent="0.25">
      <c r="A1794">
        <v>307308</v>
      </c>
      <c r="B1794" s="1">
        <v>44749</v>
      </c>
    </row>
    <row r="1795" spans="1:2" x14ac:dyDescent="0.25">
      <c r="A1795">
        <v>307309</v>
      </c>
      <c r="B1795" s="1">
        <v>44930</v>
      </c>
    </row>
    <row r="1796" spans="1:2" x14ac:dyDescent="0.25">
      <c r="A1796">
        <v>307316</v>
      </c>
      <c r="B1796" s="1">
        <v>44968</v>
      </c>
    </row>
    <row r="1797" spans="1:2" x14ac:dyDescent="0.25">
      <c r="A1797">
        <v>307331</v>
      </c>
      <c r="B1797" s="1">
        <v>44885</v>
      </c>
    </row>
    <row r="1798" spans="1:2" x14ac:dyDescent="0.25">
      <c r="A1798">
        <v>307336</v>
      </c>
      <c r="B1798" s="1">
        <v>44690</v>
      </c>
    </row>
    <row r="1799" spans="1:2" x14ac:dyDescent="0.25">
      <c r="A1799">
        <v>307357</v>
      </c>
      <c r="B1799" s="1">
        <v>44737</v>
      </c>
    </row>
    <row r="1800" spans="1:2" x14ac:dyDescent="0.25">
      <c r="A1800">
        <v>307365</v>
      </c>
      <c r="B1800" s="1">
        <v>44867</v>
      </c>
    </row>
    <row r="1801" spans="1:2" x14ac:dyDescent="0.25">
      <c r="A1801">
        <v>307421</v>
      </c>
      <c r="B1801" s="1">
        <v>44811</v>
      </c>
    </row>
    <row r="1802" spans="1:2" x14ac:dyDescent="0.25">
      <c r="A1802">
        <v>307476</v>
      </c>
      <c r="B1802" s="1">
        <v>44861</v>
      </c>
    </row>
    <row r="1803" spans="1:2" x14ac:dyDescent="0.25">
      <c r="A1803">
        <v>307486</v>
      </c>
      <c r="B1803" s="1">
        <v>44966</v>
      </c>
    </row>
    <row r="1804" spans="1:2" x14ac:dyDescent="0.25">
      <c r="A1804">
        <v>307491</v>
      </c>
      <c r="B1804" s="1">
        <v>44843</v>
      </c>
    </row>
    <row r="1805" spans="1:2" x14ac:dyDescent="0.25">
      <c r="A1805">
        <v>307513</v>
      </c>
      <c r="B1805" s="1">
        <v>44956</v>
      </c>
    </row>
    <row r="1806" spans="1:2" x14ac:dyDescent="0.25">
      <c r="A1806">
        <v>307531</v>
      </c>
      <c r="B1806" s="1">
        <v>44911</v>
      </c>
    </row>
    <row r="1807" spans="1:2" x14ac:dyDescent="0.25">
      <c r="A1807">
        <v>307532</v>
      </c>
      <c r="B1807" s="1">
        <v>44759</v>
      </c>
    </row>
    <row r="1808" spans="1:2" x14ac:dyDescent="0.25">
      <c r="A1808">
        <v>307545</v>
      </c>
      <c r="B1808" s="1">
        <v>44917</v>
      </c>
    </row>
    <row r="1809" spans="1:2" x14ac:dyDescent="0.25">
      <c r="A1809">
        <v>307562</v>
      </c>
      <c r="B1809" s="1">
        <v>44908</v>
      </c>
    </row>
    <row r="1810" spans="1:2" x14ac:dyDescent="0.25">
      <c r="A1810">
        <v>307581</v>
      </c>
      <c r="B1810" s="1">
        <v>44745</v>
      </c>
    </row>
    <row r="1811" spans="1:2" x14ac:dyDescent="0.25">
      <c r="A1811">
        <v>307587</v>
      </c>
      <c r="B1811" s="1">
        <v>44697</v>
      </c>
    </row>
    <row r="1812" spans="1:2" x14ac:dyDescent="0.25">
      <c r="A1812">
        <v>307621</v>
      </c>
      <c r="B1812" s="1">
        <v>44811</v>
      </c>
    </row>
    <row r="1813" spans="1:2" x14ac:dyDescent="0.25">
      <c r="A1813">
        <v>307650</v>
      </c>
      <c r="B1813" s="1">
        <v>44927</v>
      </c>
    </row>
    <row r="1814" spans="1:2" x14ac:dyDescent="0.25">
      <c r="A1814">
        <v>307679</v>
      </c>
      <c r="B1814" s="1">
        <v>44964</v>
      </c>
    </row>
    <row r="1815" spans="1:2" x14ac:dyDescent="0.25">
      <c r="A1815">
        <v>307683</v>
      </c>
      <c r="B1815" s="1">
        <v>44877</v>
      </c>
    </row>
    <row r="1816" spans="1:2" x14ac:dyDescent="0.25">
      <c r="A1816">
        <v>307723</v>
      </c>
      <c r="B1816" s="1">
        <v>44769</v>
      </c>
    </row>
    <row r="1817" spans="1:2" x14ac:dyDescent="0.25">
      <c r="A1817">
        <v>307732</v>
      </c>
      <c r="B1817" s="1">
        <v>44885</v>
      </c>
    </row>
    <row r="1818" spans="1:2" x14ac:dyDescent="0.25">
      <c r="A1818">
        <v>307749</v>
      </c>
      <c r="B1818" s="1">
        <v>44943</v>
      </c>
    </row>
    <row r="1819" spans="1:2" x14ac:dyDescent="0.25">
      <c r="A1819">
        <v>307763</v>
      </c>
      <c r="B1819" s="1">
        <v>44946</v>
      </c>
    </row>
    <row r="1820" spans="1:2" x14ac:dyDescent="0.25">
      <c r="A1820">
        <v>307764</v>
      </c>
      <c r="B1820" s="1">
        <v>44753</v>
      </c>
    </row>
    <row r="1821" spans="1:2" x14ac:dyDescent="0.25">
      <c r="A1821">
        <v>307772</v>
      </c>
      <c r="B1821" s="1">
        <v>44716</v>
      </c>
    </row>
    <row r="1822" spans="1:2" x14ac:dyDescent="0.25">
      <c r="A1822">
        <v>307774</v>
      </c>
      <c r="B1822" s="1">
        <v>44757</v>
      </c>
    </row>
    <row r="1823" spans="1:2" x14ac:dyDescent="0.25">
      <c r="A1823">
        <v>307843</v>
      </c>
      <c r="B1823" s="1">
        <v>44695</v>
      </c>
    </row>
    <row r="1824" spans="1:2" x14ac:dyDescent="0.25">
      <c r="A1824">
        <v>307897</v>
      </c>
      <c r="B1824" s="1">
        <v>44713</v>
      </c>
    </row>
    <row r="1825" spans="1:2" x14ac:dyDescent="0.25">
      <c r="A1825">
        <v>307901</v>
      </c>
      <c r="B1825" s="1">
        <v>44754</v>
      </c>
    </row>
    <row r="1826" spans="1:2" x14ac:dyDescent="0.25">
      <c r="A1826">
        <v>307915</v>
      </c>
      <c r="B1826" s="1">
        <v>44925</v>
      </c>
    </row>
    <row r="1827" spans="1:2" x14ac:dyDescent="0.25">
      <c r="A1827">
        <v>307916</v>
      </c>
      <c r="B1827" s="1">
        <v>44852</v>
      </c>
    </row>
    <row r="1828" spans="1:2" x14ac:dyDescent="0.25">
      <c r="A1828">
        <v>307928</v>
      </c>
      <c r="B1828" s="1">
        <v>44727</v>
      </c>
    </row>
    <row r="1829" spans="1:2" x14ac:dyDescent="0.25">
      <c r="A1829">
        <v>307932</v>
      </c>
      <c r="B1829" s="1">
        <v>44846</v>
      </c>
    </row>
    <row r="1830" spans="1:2" x14ac:dyDescent="0.25">
      <c r="A1830">
        <v>307957</v>
      </c>
      <c r="B1830" s="1">
        <v>44945</v>
      </c>
    </row>
    <row r="1831" spans="1:2" x14ac:dyDescent="0.25">
      <c r="A1831">
        <v>307979</v>
      </c>
      <c r="B1831" s="1">
        <v>44768</v>
      </c>
    </row>
    <row r="1832" spans="1:2" x14ac:dyDescent="0.25">
      <c r="A1832">
        <v>308000</v>
      </c>
      <c r="B1832" s="1">
        <v>44916</v>
      </c>
    </row>
    <row r="1833" spans="1:2" x14ac:dyDescent="0.25">
      <c r="A1833">
        <v>308011</v>
      </c>
      <c r="B1833" s="1">
        <v>44699</v>
      </c>
    </row>
    <row r="1834" spans="1:2" x14ac:dyDescent="0.25">
      <c r="A1834">
        <v>308018</v>
      </c>
      <c r="B1834" s="1">
        <v>44755</v>
      </c>
    </row>
    <row r="1835" spans="1:2" x14ac:dyDescent="0.25">
      <c r="A1835">
        <v>308051</v>
      </c>
      <c r="B1835" s="1">
        <v>44692</v>
      </c>
    </row>
    <row r="1836" spans="1:2" x14ac:dyDescent="0.25">
      <c r="A1836">
        <v>308073</v>
      </c>
      <c r="B1836" s="1">
        <v>44863</v>
      </c>
    </row>
    <row r="1837" spans="1:2" x14ac:dyDescent="0.25">
      <c r="A1837">
        <v>308077</v>
      </c>
      <c r="B1837" s="1">
        <v>44780</v>
      </c>
    </row>
    <row r="1838" spans="1:2" x14ac:dyDescent="0.25">
      <c r="A1838">
        <v>308090</v>
      </c>
      <c r="B1838" s="1">
        <v>44881</v>
      </c>
    </row>
    <row r="1839" spans="1:2" x14ac:dyDescent="0.25">
      <c r="A1839">
        <v>308101</v>
      </c>
      <c r="B1839" s="1">
        <v>44730</v>
      </c>
    </row>
    <row r="1840" spans="1:2" x14ac:dyDescent="0.25">
      <c r="A1840">
        <v>308118</v>
      </c>
      <c r="B1840" s="1">
        <v>44952</v>
      </c>
    </row>
    <row r="1841" spans="1:2" x14ac:dyDescent="0.25">
      <c r="A1841">
        <v>308163</v>
      </c>
      <c r="B1841" s="1">
        <v>44852</v>
      </c>
    </row>
    <row r="1842" spans="1:2" x14ac:dyDescent="0.25">
      <c r="A1842">
        <v>308169</v>
      </c>
      <c r="B1842" s="1">
        <v>44916</v>
      </c>
    </row>
    <row r="1843" spans="1:2" x14ac:dyDescent="0.25">
      <c r="A1843">
        <v>308179</v>
      </c>
      <c r="B1843" s="1">
        <v>44867</v>
      </c>
    </row>
    <row r="1844" spans="1:2" x14ac:dyDescent="0.25">
      <c r="A1844">
        <v>308194</v>
      </c>
      <c r="B1844" s="1">
        <v>44932</v>
      </c>
    </row>
    <row r="1845" spans="1:2" x14ac:dyDescent="0.25">
      <c r="A1845">
        <v>308201</v>
      </c>
      <c r="B1845" s="1">
        <v>44826</v>
      </c>
    </row>
    <row r="1846" spans="1:2" x14ac:dyDescent="0.25">
      <c r="A1846">
        <v>308222</v>
      </c>
      <c r="B1846" s="1">
        <v>44781</v>
      </c>
    </row>
    <row r="1847" spans="1:2" x14ac:dyDescent="0.25">
      <c r="A1847">
        <v>308223</v>
      </c>
      <c r="B1847" s="1">
        <v>44687</v>
      </c>
    </row>
    <row r="1848" spans="1:2" x14ac:dyDescent="0.25">
      <c r="A1848">
        <v>308231</v>
      </c>
      <c r="B1848" s="1">
        <v>44871</v>
      </c>
    </row>
    <row r="1849" spans="1:2" x14ac:dyDescent="0.25">
      <c r="A1849">
        <v>308270</v>
      </c>
      <c r="B1849" s="1">
        <v>44806</v>
      </c>
    </row>
    <row r="1850" spans="1:2" x14ac:dyDescent="0.25">
      <c r="A1850">
        <v>308275</v>
      </c>
      <c r="B1850" s="1">
        <v>44876</v>
      </c>
    </row>
    <row r="1851" spans="1:2" x14ac:dyDescent="0.25">
      <c r="A1851">
        <v>308278</v>
      </c>
      <c r="B1851" s="1">
        <v>44719</v>
      </c>
    </row>
    <row r="1852" spans="1:2" x14ac:dyDescent="0.25">
      <c r="A1852">
        <v>308282</v>
      </c>
      <c r="B1852" s="1">
        <v>44698</v>
      </c>
    </row>
    <row r="1853" spans="1:2" x14ac:dyDescent="0.25">
      <c r="A1853">
        <v>308313</v>
      </c>
      <c r="B1853" s="1">
        <v>44709</v>
      </c>
    </row>
    <row r="1854" spans="1:2" x14ac:dyDescent="0.25">
      <c r="A1854">
        <v>308318</v>
      </c>
      <c r="B1854" s="1">
        <v>44744</v>
      </c>
    </row>
    <row r="1855" spans="1:2" x14ac:dyDescent="0.25">
      <c r="A1855">
        <v>308323</v>
      </c>
      <c r="B1855" s="1">
        <v>44879</v>
      </c>
    </row>
    <row r="1856" spans="1:2" x14ac:dyDescent="0.25">
      <c r="A1856">
        <v>308328</v>
      </c>
      <c r="B1856" s="1">
        <v>44715</v>
      </c>
    </row>
    <row r="1857" spans="1:2" x14ac:dyDescent="0.25">
      <c r="A1857">
        <v>308340</v>
      </c>
      <c r="B1857" s="1">
        <v>44715</v>
      </c>
    </row>
    <row r="1858" spans="1:2" x14ac:dyDescent="0.25">
      <c r="A1858">
        <v>308361</v>
      </c>
      <c r="B1858" s="1">
        <v>44961</v>
      </c>
    </row>
    <row r="1859" spans="1:2" x14ac:dyDescent="0.25">
      <c r="A1859">
        <v>308387</v>
      </c>
      <c r="B1859" s="1">
        <v>44872</v>
      </c>
    </row>
    <row r="1860" spans="1:2" x14ac:dyDescent="0.25">
      <c r="A1860">
        <v>308397</v>
      </c>
      <c r="B1860" s="1">
        <v>44834</v>
      </c>
    </row>
    <row r="1861" spans="1:2" x14ac:dyDescent="0.25">
      <c r="A1861">
        <v>308405</v>
      </c>
      <c r="B1861" s="1">
        <v>44883</v>
      </c>
    </row>
    <row r="1862" spans="1:2" x14ac:dyDescent="0.25">
      <c r="A1862">
        <v>308414</v>
      </c>
      <c r="B1862" s="1">
        <v>44725</v>
      </c>
    </row>
    <row r="1863" spans="1:2" x14ac:dyDescent="0.25">
      <c r="A1863">
        <v>308416</v>
      </c>
      <c r="B1863" s="1">
        <v>44870</v>
      </c>
    </row>
    <row r="1864" spans="1:2" x14ac:dyDescent="0.25">
      <c r="A1864">
        <v>308442</v>
      </c>
      <c r="B1864" s="1">
        <v>44721</v>
      </c>
    </row>
    <row r="1865" spans="1:2" x14ac:dyDescent="0.25">
      <c r="A1865">
        <v>308447</v>
      </c>
      <c r="B1865" s="1">
        <v>44817</v>
      </c>
    </row>
    <row r="1866" spans="1:2" x14ac:dyDescent="0.25">
      <c r="A1866">
        <v>308456</v>
      </c>
      <c r="B1866" s="1">
        <v>44977</v>
      </c>
    </row>
    <row r="1867" spans="1:2" x14ac:dyDescent="0.25">
      <c r="A1867">
        <v>308473</v>
      </c>
      <c r="B1867" s="1">
        <v>44955</v>
      </c>
    </row>
    <row r="1868" spans="1:2" x14ac:dyDescent="0.25">
      <c r="A1868">
        <v>308479</v>
      </c>
      <c r="B1868" s="1">
        <v>44884</v>
      </c>
    </row>
    <row r="1869" spans="1:2" x14ac:dyDescent="0.25">
      <c r="A1869">
        <v>308481</v>
      </c>
      <c r="B1869" s="1">
        <v>44978</v>
      </c>
    </row>
    <row r="1870" spans="1:2" x14ac:dyDescent="0.25">
      <c r="A1870">
        <v>308488</v>
      </c>
      <c r="B1870" s="1">
        <v>44720</v>
      </c>
    </row>
    <row r="1871" spans="1:2" x14ac:dyDescent="0.25">
      <c r="A1871">
        <v>308498</v>
      </c>
      <c r="B1871" s="1">
        <v>44905</v>
      </c>
    </row>
    <row r="1872" spans="1:2" x14ac:dyDescent="0.25">
      <c r="A1872">
        <v>308515</v>
      </c>
      <c r="B1872" s="1">
        <v>44701</v>
      </c>
    </row>
    <row r="1873" spans="1:2" x14ac:dyDescent="0.25">
      <c r="A1873">
        <v>308524</v>
      </c>
      <c r="B1873" s="1">
        <v>44851</v>
      </c>
    </row>
    <row r="1874" spans="1:2" x14ac:dyDescent="0.25">
      <c r="A1874">
        <v>308534</v>
      </c>
      <c r="B1874" s="1">
        <v>44934</v>
      </c>
    </row>
    <row r="1875" spans="1:2" x14ac:dyDescent="0.25">
      <c r="A1875">
        <v>308551</v>
      </c>
      <c r="B1875" s="1">
        <v>44931</v>
      </c>
    </row>
    <row r="1876" spans="1:2" x14ac:dyDescent="0.25">
      <c r="A1876">
        <v>308564</v>
      </c>
      <c r="B1876" s="1">
        <v>44935</v>
      </c>
    </row>
    <row r="1877" spans="1:2" x14ac:dyDescent="0.25">
      <c r="A1877">
        <v>308612</v>
      </c>
      <c r="B1877" s="1">
        <v>44870</v>
      </c>
    </row>
    <row r="1878" spans="1:2" x14ac:dyDescent="0.25">
      <c r="A1878">
        <v>308621</v>
      </c>
      <c r="B1878" s="1">
        <v>44861</v>
      </c>
    </row>
    <row r="1879" spans="1:2" x14ac:dyDescent="0.25">
      <c r="A1879">
        <v>308625</v>
      </c>
      <c r="B1879" s="1">
        <v>44780</v>
      </c>
    </row>
    <row r="1880" spans="1:2" x14ac:dyDescent="0.25">
      <c r="A1880">
        <v>308626</v>
      </c>
      <c r="B1880" s="1">
        <v>44838</v>
      </c>
    </row>
    <row r="1881" spans="1:2" x14ac:dyDescent="0.25">
      <c r="A1881">
        <v>308635</v>
      </c>
      <c r="B1881" s="1">
        <v>44780</v>
      </c>
    </row>
    <row r="1882" spans="1:2" x14ac:dyDescent="0.25">
      <c r="A1882">
        <v>308642</v>
      </c>
      <c r="B1882" s="1">
        <v>44753</v>
      </c>
    </row>
    <row r="1883" spans="1:2" x14ac:dyDescent="0.25">
      <c r="A1883">
        <v>308664</v>
      </c>
      <c r="B1883" s="1">
        <v>44962</v>
      </c>
    </row>
    <row r="1884" spans="1:2" x14ac:dyDescent="0.25">
      <c r="A1884">
        <v>308672</v>
      </c>
      <c r="B1884" s="1">
        <v>44797</v>
      </c>
    </row>
    <row r="1885" spans="1:2" x14ac:dyDescent="0.25">
      <c r="A1885">
        <v>308687</v>
      </c>
      <c r="B1885" s="1">
        <v>44922</v>
      </c>
    </row>
    <row r="1886" spans="1:2" x14ac:dyDescent="0.25">
      <c r="A1886">
        <v>308725</v>
      </c>
      <c r="B1886" s="1">
        <v>44781</v>
      </c>
    </row>
    <row r="1887" spans="1:2" x14ac:dyDescent="0.25">
      <c r="A1887">
        <v>308731</v>
      </c>
      <c r="B1887" s="1">
        <v>44945</v>
      </c>
    </row>
    <row r="1888" spans="1:2" x14ac:dyDescent="0.25">
      <c r="A1888">
        <v>308733</v>
      </c>
      <c r="B1888" s="1">
        <v>44758</v>
      </c>
    </row>
    <row r="1889" spans="1:2" x14ac:dyDescent="0.25">
      <c r="A1889">
        <v>308737</v>
      </c>
      <c r="B1889" s="1">
        <v>44700</v>
      </c>
    </row>
    <row r="1890" spans="1:2" x14ac:dyDescent="0.25">
      <c r="A1890">
        <v>308745</v>
      </c>
      <c r="B1890" s="1">
        <v>44739</v>
      </c>
    </row>
    <row r="1891" spans="1:2" x14ac:dyDescent="0.25">
      <c r="A1891">
        <v>308767</v>
      </c>
      <c r="B1891" s="1">
        <v>44795</v>
      </c>
    </row>
    <row r="1892" spans="1:2" x14ac:dyDescent="0.25">
      <c r="A1892">
        <v>308788</v>
      </c>
      <c r="B1892" s="1">
        <v>44893</v>
      </c>
    </row>
    <row r="1893" spans="1:2" x14ac:dyDescent="0.25">
      <c r="A1893">
        <v>308819</v>
      </c>
      <c r="B1893" s="1">
        <v>44901</v>
      </c>
    </row>
    <row r="1894" spans="1:2" x14ac:dyDescent="0.25">
      <c r="A1894">
        <v>308830</v>
      </c>
      <c r="B1894" s="1">
        <v>44799</v>
      </c>
    </row>
    <row r="1895" spans="1:2" x14ac:dyDescent="0.25">
      <c r="A1895">
        <v>308847</v>
      </c>
      <c r="B1895" s="1">
        <v>44812</v>
      </c>
    </row>
    <row r="1896" spans="1:2" x14ac:dyDescent="0.25">
      <c r="A1896">
        <v>308857</v>
      </c>
      <c r="B1896" s="1">
        <v>44875</v>
      </c>
    </row>
    <row r="1897" spans="1:2" x14ac:dyDescent="0.25">
      <c r="A1897">
        <v>308872</v>
      </c>
      <c r="B1897" s="1">
        <v>44709</v>
      </c>
    </row>
    <row r="1898" spans="1:2" x14ac:dyDescent="0.25">
      <c r="A1898">
        <v>308883</v>
      </c>
      <c r="B1898" s="1">
        <v>44972</v>
      </c>
    </row>
    <row r="1899" spans="1:2" x14ac:dyDescent="0.25">
      <c r="A1899">
        <v>308890</v>
      </c>
      <c r="B1899" s="1">
        <v>44735</v>
      </c>
    </row>
    <row r="1900" spans="1:2" x14ac:dyDescent="0.25">
      <c r="A1900">
        <v>308895</v>
      </c>
      <c r="B1900" s="1">
        <v>44829</v>
      </c>
    </row>
    <row r="1901" spans="1:2" x14ac:dyDescent="0.25">
      <c r="A1901">
        <v>308903</v>
      </c>
      <c r="B1901" s="1">
        <v>44884</v>
      </c>
    </row>
    <row r="1902" spans="1:2" x14ac:dyDescent="0.25">
      <c r="A1902">
        <v>308927</v>
      </c>
      <c r="B1902" s="1">
        <v>44896</v>
      </c>
    </row>
    <row r="1903" spans="1:2" x14ac:dyDescent="0.25">
      <c r="A1903">
        <v>308935</v>
      </c>
      <c r="B1903" s="1">
        <v>44793</v>
      </c>
    </row>
    <row r="1904" spans="1:2" x14ac:dyDescent="0.25">
      <c r="A1904">
        <v>308937</v>
      </c>
      <c r="B1904" s="1">
        <v>44915</v>
      </c>
    </row>
    <row r="1905" spans="1:2" x14ac:dyDescent="0.25">
      <c r="A1905">
        <v>308942</v>
      </c>
      <c r="B1905" s="1">
        <v>44750</v>
      </c>
    </row>
    <row r="1906" spans="1:2" x14ac:dyDescent="0.25">
      <c r="A1906">
        <v>308964</v>
      </c>
      <c r="B1906" s="1">
        <v>44908</v>
      </c>
    </row>
    <row r="1907" spans="1:2" x14ac:dyDescent="0.25">
      <c r="A1907">
        <v>308998</v>
      </c>
      <c r="B1907" s="1">
        <v>44709</v>
      </c>
    </row>
    <row r="1908" spans="1:2" x14ac:dyDescent="0.25">
      <c r="A1908">
        <v>309002</v>
      </c>
      <c r="B1908" s="1">
        <v>44982</v>
      </c>
    </row>
    <row r="1909" spans="1:2" x14ac:dyDescent="0.25">
      <c r="A1909">
        <v>309012</v>
      </c>
      <c r="B1909" s="1">
        <v>44779</v>
      </c>
    </row>
    <row r="1910" spans="1:2" x14ac:dyDescent="0.25">
      <c r="A1910">
        <v>309018</v>
      </c>
      <c r="B1910" s="1">
        <v>44716</v>
      </c>
    </row>
    <row r="1911" spans="1:2" x14ac:dyDescent="0.25">
      <c r="A1911">
        <v>309021</v>
      </c>
      <c r="B1911" s="1">
        <v>44850</v>
      </c>
    </row>
    <row r="1912" spans="1:2" x14ac:dyDescent="0.25">
      <c r="A1912">
        <v>309036</v>
      </c>
      <c r="B1912" s="1">
        <v>44818</v>
      </c>
    </row>
    <row r="1913" spans="1:2" x14ac:dyDescent="0.25">
      <c r="A1913">
        <v>309057</v>
      </c>
      <c r="B1913" s="1">
        <v>44702</v>
      </c>
    </row>
    <row r="1914" spans="1:2" x14ac:dyDescent="0.25">
      <c r="A1914">
        <v>309065</v>
      </c>
      <c r="B1914" s="1">
        <v>44754</v>
      </c>
    </row>
    <row r="1915" spans="1:2" x14ac:dyDescent="0.25">
      <c r="A1915">
        <v>309071</v>
      </c>
      <c r="B1915" s="1">
        <v>44872</v>
      </c>
    </row>
    <row r="1916" spans="1:2" x14ac:dyDescent="0.25">
      <c r="A1916">
        <v>309086</v>
      </c>
      <c r="B1916" s="1">
        <v>44810</v>
      </c>
    </row>
    <row r="1917" spans="1:2" x14ac:dyDescent="0.25">
      <c r="A1917">
        <v>309095</v>
      </c>
      <c r="B1917" s="1">
        <v>44890</v>
      </c>
    </row>
    <row r="1918" spans="1:2" x14ac:dyDescent="0.25">
      <c r="A1918">
        <v>309100</v>
      </c>
      <c r="B1918" s="1">
        <v>44918</v>
      </c>
    </row>
    <row r="1919" spans="1:2" x14ac:dyDescent="0.25">
      <c r="A1919">
        <v>309118</v>
      </c>
      <c r="B1919" s="1">
        <v>44963</v>
      </c>
    </row>
    <row r="1920" spans="1:2" x14ac:dyDescent="0.25">
      <c r="A1920">
        <v>307002</v>
      </c>
      <c r="B1920" s="1">
        <v>44995</v>
      </c>
    </row>
    <row r="1921" spans="1:2" x14ac:dyDescent="0.25">
      <c r="A1921">
        <v>307094</v>
      </c>
      <c r="B1921" s="1">
        <v>44768</v>
      </c>
    </row>
    <row r="1922" spans="1:2" x14ac:dyDescent="0.25">
      <c r="A1922">
        <v>307095</v>
      </c>
      <c r="B1922" s="1">
        <v>44912</v>
      </c>
    </row>
    <row r="1923" spans="1:2" x14ac:dyDescent="0.25">
      <c r="A1923">
        <v>307131</v>
      </c>
      <c r="B1923" s="1">
        <v>44954</v>
      </c>
    </row>
    <row r="1924" spans="1:2" x14ac:dyDescent="0.25">
      <c r="A1924">
        <v>307143</v>
      </c>
      <c r="B1924" s="1">
        <v>44958</v>
      </c>
    </row>
    <row r="1925" spans="1:2" x14ac:dyDescent="0.25">
      <c r="A1925">
        <v>307153</v>
      </c>
      <c r="B1925" s="1">
        <v>44779</v>
      </c>
    </row>
    <row r="1926" spans="1:2" x14ac:dyDescent="0.25">
      <c r="A1926">
        <v>307192</v>
      </c>
      <c r="B1926" s="1">
        <v>44746</v>
      </c>
    </row>
    <row r="1927" spans="1:2" x14ac:dyDescent="0.25">
      <c r="A1927">
        <v>307261</v>
      </c>
      <c r="B1927" s="1">
        <v>44813</v>
      </c>
    </row>
    <row r="1928" spans="1:2" x14ac:dyDescent="0.25">
      <c r="A1928">
        <v>307304</v>
      </c>
      <c r="B1928" s="1">
        <v>44948</v>
      </c>
    </row>
    <row r="1929" spans="1:2" x14ac:dyDescent="0.25">
      <c r="A1929">
        <v>307308</v>
      </c>
      <c r="B1929" s="1">
        <v>44780</v>
      </c>
    </row>
    <row r="1930" spans="1:2" x14ac:dyDescent="0.25">
      <c r="A1930">
        <v>307309</v>
      </c>
      <c r="B1930" s="1">
        <v>44961</v>
      </c>
    </row>
    <row r="1931" spans="1:2" x14ac:dyDescent="0.25">
      <c r="A1931">
        <v>307531</v>
      </c>
      <c r="B1931" s="1">
        <v>44942</v>
      </c>
    </row>
    <row r="1932" spans="1:2" x14ac:dyDescent="0.25">
      <c r="A1932">
        <v>307545</v>
      </c>
      <c r="B1932" s="1">
        <v>44948</v>
      </c>
    </row>
    <row r="1933" spans="1:2" x14ac:dyDescent="0.25">
      <c r="A1933">
        <v>307562</v>
      </c>
      <c r="B1933" s="1">
        <v>44939</v>
      </c>
    </row>
    <row r="1934" spans="1:2" x14ac:dyDescent="0.25">
      <c r="A1934">
        <v>307587</v>
      </c>
      <c r="B1934" s="1">
        <v>44728</v>
      </c>
    </row>
    <row r="1935" spans="1:2" x14ac:dyDescent="0.25">
      <c r="A1935">
        <v>307723</v>
      </c>
      <c r="B1935" s="1">
        <v>44800</v>
      </c>
    </row>
    <row r="1936" spans="1:2" x14ac:dyDescent="0.25">
      <c r="A1936">
        <v>307763</v>
      </c>
      <c r="B1936" s="1">
        <v>44977</v>
      </c>
    </row>
    <row r="1937" spans="1:2" x14ac:dyDescent="0.25">
      <c r="A1937">
        <v>307764</v>
      </c>
      <c r="B1937" s="1">
        <v>44784</v>
      </c>
    </row>
    <row r="1938" spans="1:2" x14ac:dyDescent="0.25">
      <c r="A1938">
        <v>307843</v>
      </c>
      <c r="B1938" s="1">
        <v>44726</v>
      </c>
    </row>
    <row r="1939" spans="1:2" x14ac:dyDescent="0.25">
      <c r="A1939">
        <v>307897</v>
      </c>
      <c r="B1939" s="1">
        <v>44743</v>
      </c>
    </row>
    <row r="1940" spans="1:2" x14ac:dyDescent="0.25">
      <c r="A1940">
        <v>307916</v>
      </c>
      <c r="B1940" s="1">
        <v>44883</v>
      </c>
    </row>
    <row r="1941" spans="1:2" x14ac:dyDescent="0.25">
      <c r="A1941">
        <v>307928</v>
      </c>
      <c r="B1941" s="1">
        <v>44757</v>
      </c>
    </row>
    <row r="1942" spans="1:2" x14ac:dyDescent="0.25">
      <c r="A1942">
        <v>307932</v>
      </c>
      <c r="B1942" s="1">
        <v>44877</v>
      </c>
    </row>
    <row r="1943" spans="1:2" x14ac:dyDescent="0.25">
      <c r="A1943">
        <v>308000</v>
      </c>
      <c r="B1943" s="1">
        <v>44947</v>
      </c>
    </row>
    <row r="1944" spans="1:2" x14ac:dyDescent="0.25">
      <c r="A1944">
        <v>308073</v>
      </c>
      <c r="B1944" s="1">
        <v>44894</v>
      </c>
    </row>
    <row r="1945" spans="1:2" x14ac:dyDescent="0.25">
      <c r="A1945">
        <v>308169</v>
      </c>
      <c r="B1945" s="1">
        <v>44947</v>
      </c>
    </row>
    <row r="1946" spans="1:2" x14ac:dyDescent="0.25">
      <c r="A1946">
        <v>308194</v>
      </c>
      <c r="B1946" s="1">
        <v>44963</v>
      </c>
    </row>
    <row r="1947" spans="1:2" x14ac:dyDescent="0.25">
      <c r="A1947">
        <v>308223</v>
      </c>
      <c r="B1947" s="1">
        <v>44718</v>
      </c>
    </row>
    <row r="1948" spans="1:2" x14ac:dyDescent="0.25">
      <c r="A1948">
        <v>308231</v>
      </c>
      <c r="B1948" s="1">
        <v>44901</v>
      </c>
    </row>
    <row r="1949" spans="1:2" x14ac:dyDescent="0.25">
      <c r="A1949">
        <v>308275</v>
      </c>
      <c r="B1949" s="1">
        <v>44906</v>
      </c>
    </row>
    <row r="1950" spans="1:2" x14ac:dyDescent="0.25">
      <c r="A1950">
        <v>308278</v>
      </c>
      <c r="B1950" s="1">
        <v>44749</v>
      </c>
    </row>
    <row r="1951" spans="1:2" x14ac:dyDescent="0.25">
      <c r="A1951">
        <v>308282</v>
      </c>
      <c r="B1951" s="1">
        <v>44729</v>
      </c>
    </row>
    <row r="1952" spans="1:2" x14ac:dyDescent="0.25">
      <c r="A1952">
        <v>308361</v>
      </c>
      <c r="B1952" s="1">
        <v>44989</v>
      </c>
    </row>
    <row r="1953" spans="1:2" x14ac:dyDescent="0.25">
      <c r="A1953">
        <v>308414</v>
      </c>
      <c r="B1953" s="1">
        <v>44755</v>
      </c>
    </row>
    <row r="1954" spans="1:2" x14ac:dyDescent="0.25">
      <c r="A1954">
        <v>308416</v>
      </c>
      <c r="B1954" s="1">
        <v>44900</v>
      </c>
    </row>
    <row r="1955" spans="1:2" x14ac:dyDescent="0.25">
      <c r="A1955">
        <v>308456</v>
      </c>
      <c r="B1955" s="1">
        <v>45005</v>
      </c>
    </row>
    <row r="1956" spans="1:2" x14ac:dyDescent="0.25">
      <c r="A1956">
        <v>308479</v>
      </c>
      <c r="B1956" s="1">
        <v>44914</v>
      </c>
    </row>
    <row r="1957" spans="1:2" x14ac:dyDescent="0.25">
      <c r="A1957">
        <v>308515</v>
      </c>
      <c r="B1957" s="1">
        <v>44732</v>
      </c>
    </row>
    <row r="1958" spans="1:2" x14ac:dyDescent="0.25">
      <c r="A1958">
        <v>308564</v>
      </c>
      <c r="B1958" s="1">
        <v>44966</v>
      </c>
    </row>
    <row r="1959" spans="1:2" x14ac:dyDescent="0.25">
      <c r="A1959">
        <v>308621</v>
      </c>
      <c r="B1959" s="1">
        <v>44892</v>
      </c>
    </row>
    <row r="1960" spans="1:2" x14ac:dyDescent="0.25">
      <c r="A1960">
        <v>308625</v>
      </c>
      <c r="B1960" s="1">
        <v>44811</v>
      </c>
    </row>
    <row r="1961" spans="1:2" x14ac:dyDescent="0.25">
      <c r="A1961">
        <v>308626</v>
      </c>
      <c r="B1961" s="1">
        <v>44869</v>
      </c>
    </row>
    <row r="1962" spans="1:2" x14ac:dyDescent="0.25">
      <c r="A1962">
        <v>308635</v>
      </c>
      <c r="B1962" s="1">
        <v>44811</v>
      </c>
    </row>
    <row r="1963" spans="1:2" x14ac:dyDescent="0.25">
      <c r="A1963">
        <v>308664</v>
      </c>
      <c r="B1963" s="1">
        <v>44990</v>
      </c>
    </row>
    <row r="1964" spans="1:2" x14ac:dyDescent="0.25">
      <c r="A1964">
        <v>308672</v>
      </c>
      <c r="B1964" s="1">
        <v>44828</v>
      </c>
    </row>
    <row r="1965" spans="1:2" x14ac:dyDescent="0.25">
      <c r="A1965">
        <v>308731</v>
      </c>
      <c r="B1965" s="1">
        <v>44976</v>
      </c>
    </row>
    <row r="1966" spans="1:2" x14ac:dyDescent="0.25">
      <c r="A1966">
        <v>308745</v>
      </c>
      <c r="B1966" s="1">
        <v>44769</v>
      </c>
    </row>
    <row r="1967" spans="1:2" x14ac:dyDescent="0.25">
      <c r="A1967">
        <v>308819</v>
      </c>
      <c r="B1967" s="1">
        <v>44932</v>
      </c>
    </row>
    <row r="1968" spans="1:2" x14ac:dyDescent="0.25">
      <c r="A1968">
        <v>308830</v>
      </c>
      <c r="B1968" s="1">
        <v>44830</v>
      </c>
    </row>
    <row r="1969" spans="1:2" x14ac:dyDescent="0.25">
      <c r="A1969">
        <v>308872</v>
      </c>
      <c r="B1969" s="1">
        <v>44740</v>
      </c>
    </row>
    <row r="1970" spans="1:2" x14ac:dyDescent="0.25">
      <c r="A1970">
        <v>308927</v>
      </c>
      <c r="B1970" s="1">
        <v>44927</v>
      </c>
    </row>
    <row r="1971" spans="1:2" x14ac:dyDescent="0.25">
      <c r="A1971">
        <v>308937</v>
      </c>
      <c r="B1971" s="1">
        <v>44946</v>
      </c>
    </row>
    <row r="1972" spans="1:2" x14ac:dyDescent="0.25">
      <c r="A1972">
        <v>308998</v>
      </c>
      <c r="B1972" s="1">
        <v>44740</v>
      </c>
    </row>
    <row r="1973" spans="1:2" x14ac:dyDescent="0.25">
      <c r="A1973">
        <v>309002</v>
      </c>
      <c r="B1973" s="1">
        <v>45010</v>
      </c>
    </row>
    <row r="1974" spans="1:2" x14ac:dyDescent="0.25">
      <c r="A1974">
        <v>309071</v>
      </c>
      <c r="B1974" s="1">
        <v>44902</v>
      </c>
    </row>
    <row r="1975" spans="1:2" x14ac:dyDescent="0.25">
      <c r="A1975">
        <v>307545</v>
      </c>
      <c r="B1975" s="1">
        <v>44979</v>
      </c>
    </row>
    <row r="1976" spans="1:2" x14ac:dyDescent="0.25">
      <c r="A1976">
        <v>307932</v>
      </c>
      <c r="B1976" s="1">
        <v>44907</v>
      </c>
    </row>
    <row r="1977" spans="1:2" x14ac:dyDescent="0.25">
      <c r="A1977">
        <v>308564</v>
      </c>
      <c r="B1977" s="1">
        <v>44994</v>
      </c>
    </row>
    <row r="1978" spans="1:2" x14ac:dyDescent="0.25">
      <c r="A1978">
        <v>308625</v>
      </c>
      <c r="B1978" s="1">
        <v>44841</v>
      </c>
    </row>
    <row r="1979" spans="1:2" x14ac:dyDescent="0.25">
      <c r="A1979">
        <v>308626</v>
      </c>
      <c r="B1979" s="1">
        <v>44899</v>
      </c>
    </row>
    <row r="1980" spans="1:2" x14ac:dyDescent="0.25">
      <c r="A1980">
        <v>308664</v>
      </c>
      <c r="B1980" s="1">
        <v>45021</v>
      </c>
    </row>
    <row r="1981" spans="1:2" x14ac:dyDescent="0.25">
      <c r="A1981">
        <v>308672</v>
      </c>
      <c r="B1981" s="1">
        <v>44858</v>
      </c>
    </row>
    <row r="1982" spans="1:2" x14ac:dyDescent="0.25">
      <c r="A1982">
        <v>309002</v>
      </c>
      <c r="B1982" s="1">
        <v>45041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973E-A147-4C7B-9CD6-EFAC60CD7A97}">
  <dimension ref="A1:Y715"/>
  <sheetViews>
    <sheetView topLeftCell="G15" workbookViewId="0">
      <selection activeCell="G40" sqref="G40"/>
    </sheetView>
  </sheetViews>
  <sheetFormatPr defaultRowHeight="15" x14ac:dyDescent="0.25"/>
  <cols>
    <col min="1" max="1" width="14.7109375" customWidth="1"/>
    <col min="2" max="2" width="13.28515625" customWidth="1"/>
    <col min="3" max="3" width="11.28515625" customWidth="1"/>
    <col min="5" max="5" width="11.85546875" bestFit="1" customWidth="1"/>
    <col min="6" max="6" width="10.140625" bestFit="1" customWidth="1"/>
    <col min="7" max="7" width="7.5703125" bestFit="1" customWidth="1"/>
    <col min="9" max="9" width="28.42578125" bestFit="1" customWidth="1"/>
    <col min="10" max="10" width="20.85546875" bestFit="1" customWidth="1"/>
    <col min="11" max="11" width="7" bestFit="1" customWidth="1"/>
    <col min="12" max="12" width="6.5703125" bestFit="1" customWidth="1"/>
    <col min="13" max="16" width="7.5703125" bestFit="1" customWidth="1"/>
    <col min="17" max="17" width="11.85546875" bestFit="1" customWidth="1"/>
    <col min="18" max="19" width="10" bestFit="1" customWidth="1"/>
    <col min="20" max="23" width="11" bestFit="1" customWidth="1"/>
    <col min="24" max="24" width="9.140625" style="45"/>
    <col min="25" max="25" width="9.5703125" bestFit="1" customWidth="1"/>
  </cols>
  <sheetData>
    <row r="1" spans="1:25" x14ac:dyDescent="0.25">
      <c r="A1" s="4" t="s">
        <v>2</v>
      </c>
      <c r="B1" s="14" t="s">
        <v>4</v>
      </c>
      <c r="C1" s="5" t="s">
        <v>8</v>
      </c>
      <c r="E1" s="8" t="s">
        <v>0</v>
      </c>
      <c r="F1" s="18" t="s">
        <v>5</v>
      </c>
      <c r="G1" s="9" t="s">
        <v>22</v>
      </c>
      <c r="I1" s="2" t="s">
        <v>8</v>
      </c>
      <c r="J1" s="2" t="s">
        <v>32</v>
      </c>
      <c r="S1" s="63" t="s">
        <v>48</v>
      </c>
    </row>
    <row r="2" spans="1:25" x14ac:dyDescent="0.25">
      <c r="A2" s="6">
        <v>307001</v>
      </c>
      <c r="B2" s="1">
        <v>44833</v>
      </c>
      <c r="C2" s="11">
        <v>5</v>
      </c>
      <c r="E2" s="6">
        <v>307001</v>
      </c>
      <c r="F2" s="1">
        <v>44833</v>
      </c>
      <c r="G2" s="11">
        <v>5</v>
      </c>
      <c r="I2" s="2" t="s">
        <v>2</v>
      </c>
      <c r="J2">
        <v>7</v>
      </c>
      <c r="K2">
        <v>6</v>
      </c>
      <c r="L2">
        <v>5</v>
      </c>
      <c r="M2">
        <v>4</v>
      </c>
      <c r="N2">
        <v>3</v>
      </c>
      <c r="O2">
        <v>2</v>
      </c>
      <c r="P2">
        <v>1</v>
      </c>
      <c r="Q2" t="s">
        <v>3</v>
      </c>
      <c r="S2" s="63">
        <v>250</v>
      </c>
    </row>
    <row r="3" spans="1:25" x14ac:dyDescent="0.25">
      <c r="A3" s="6">
        <v>307002</v>
      </c>
      <c r="B3" s="1">
        <v>44844</v>
      </c>
      <c r="C3" s="11">
        <v>6</v>
      </c>
      <c r="E3" s="6">
        <v>307002</v>
      </c>
      <c r="F3" s="1">
        <v>44844</v>
      </c>
      <c r="G3" s="11">
        <v>6</v>
      </c>
      <c r="I3" s="3" t="s">
        <v>9</v>
      </c>
      <c r="J3">
        <v>0</v>
      </c>
      <c r="K3">
        <v>7</v>
      </c>
      <c r="L3">
        <v>15</v>
      </c>
      <c r="M3">
        <v>25</v>
      </c>
      <c r="N3">
        <v>39</v>
      </c>
      <c r="O3">
        <v>59</v>
      </c>
      <c r="P3">
        <v>77</v>
      </c>
    </row>
    <row r="4" spans="1:25" x14ac:dyDescent="0.25">
      <c r="A4" s="6">
        <v>307006</v>
      </c>
      <c r="B4" s="1">
        <v>44798</v>
      </c>
      <c r="C4" s="11">
        <v>1</v>
      </c>
      <c r="E4" s="6">
        <v>307006</v>
      </c>
      <c r="F4" s="1">
        <v>44798</v>
      </c>
      <c r="G4" s="11">
        <v>1</v>
      </c>
      <c r="I4" s="3" t="s">
        <v>10</v>
      </c>
      <c r="J4">
        <v>0</v>
      </c>
      <c r="K4">
        <v>7</v>
      </c>
      <c r="L4">
        <v>15</v>
      </c>
      <c r="M4">
        <v>28</v>
      </c>
      <c r="N4">
        <v>41</v>
      </c>
      <c r="O4">
        <v>53</v>
      </c>
      <c r="P4">
        <v>70</v>
      </c>
    </row>
    <row r="5" spans="1:25" x14ac:dyDescent="0.25">
      <c r="A5" s="6">
        <v>307011</v>
      </c>
      <c r="B5" s="1">
        <v>44693</v>
      </c>
      <c r="C5" s="11">
        <v>1</v>
      </c>
      <c r="E5" s="6">
        <v>307011</v>
      </c>
      <c r="F5" s="1">
        <v>44693</v>
      </c>
      <c r="G5" s="11">
        <v>1</v>
      </c>
      <c r="I5" s="3" t="s">
        <v>11</v>
      </c>
      <c r="J5">
        <v>0</v>
      </c>
      <c r="K5">
        <v>4</v>
      </c>
      <c r="L5">
        <v>16</v>
      </c>
      <c r="M5">
        <v>27</v>
      </c>
      <c r="N5">
        <v>39</v>
      </c>
      <c r="O5">
        <v>52</v>
      </c>
      <c r="P5">
        <v>78</v>
      </c>
    </row>
    <row r="6" spans="1:25" x14ac:dyDescent="0.25">
      <c r="A6" s="6">
        <v>307013</v>
      </c>
      <c r="B6" s="1">
        <v>44567</v>
      </c>
      <c r="C6" s="11">
        <v>4</v>
      </c>
      <c r="E6" s="6">
        <v>307013</v>
      </c>
      <c r="F6" s="1">
        <v>44567</v>
      </c>
      <c r="G6" s="11">
        <v>4</v>
      </c>
      <c r="I6" s="3" t="s">
        <v>12</v>
      </c>
      <c r="J6">
        <v>2</v>
      </c>
      <c r="K6">
        <v>5</v>
      </c>
      <c r="L6">
        <v>11</v>
      </c>
      <c r="M6">
        <v>14</v>
      </c>
      <c r="N6">
        <v>25</v>
      </c>
      <c r="O6">
        <v>43</v>
      </c>
      <c r="P6">
        <v>61</v>
      </c>
    </row>
    <row r="7" spans="1:25" x14ac:dyDescent="0.25">
      <c r="A7" s="6">
        <v>307014</v>
      </c>
      <c r="B7" s="1">
        <v>44610</v>
      </c>
      <c r="C7" s="11">
        <v>3</v>
      </c>
      <c r="E7" s="6">
        <v>307014</v>
      </c>
      <c r="F7" s="1">
        <v>44610</v>
      </c>
      <c r="G7" s="11">
        <v>3</v>
      </c>
      <c r="I7" s="3" t="s">
        <v>13</v>
      </c>
      <c r="J7">
        <v>0</v>
      </c>
      <c r="K7">
        <v>0</v>
      </c>
      <c r="L7">
        <v>11</v>
      </c>
      <c r="M7">
        <v>17</v>
      </c>
      <c r="N7">
        <v>25</v>
      </c>
      <c r="O7">
        <v>40</v>
      </c>
      <c r="P7">
        <v>70</v>
      </c>
    </row>
    <row r="8" spans="1:25" x14ac:dyDescent="0.25">
      <c r="A8" s="6">
        <v>307019</v>
      </c>
      <c r="B8" s="1">
        <v>44742</v>
      </c>
      <c r="C8" s="11">
        <v>2</v>
      </c>
      <c r="E8" s="6">
        <v>307019</v>
      </c>
      <c r="F8" s="1">
        <v>44742</v>
      </c>
      <c r="G8" s="11">
        <v>2</v>
      </c>
      <c r="I8" s="3" t="s">
        <v>14</v>
      </c>
      <c r="J8">
        <v>2</v>
      </c>
      <c r="K8">
        <v>5</v>
      </c>
      <c r="L8">
        <v>10</v>
      </c>
      <c r="M8">
        <v>17</v>
      </c>
      <c r="N8">
        <v>28</v>
      </c>
      <c r="O8">
        <v>44</v>
      </c>
      <c r="P8">
        <v>61</v>
      </c>
    </row>
    <row r="9" spans="1:25" x14ac:dyDescent="0.25">
      <c r="A9" s="6">
        <v>307022</v>
      </c>
      <c r="B9" s="1">
        <v>44682</v>
      </c>
      <c r="C9" s="11">
        <v>5</v>
      </c>
      <c r="E9" s="6">
        <v>307022</v>
      </c>
      <c r="F9" s="1">
        <v>44682</v>
      </c>
      <c r="G9" s="11">
        <v>5</v>
      </c>
      <c r="I9" s="3" t="s">
        <v>15</v>
      </c>
      <c r="J9">
        <v>0</v>
      </c>
      <c r="K9">
        <v>7</v>
      </c>
      <c r="L9">
        <v>23</v>
      </c>
      <c r="M9">
        <v>29</v>
      </c>
      <c r="N9">
        <v>48</v>
      </c>
      <c r="O9">
        <v>59</v>
      </c>
      <c r="P9">
        <v>82</v>
      </c>
    </row>
    <row r="10" spans="1:25" x14ac:dyDescent="0.25">
      <c r="A10" s="6">
        <v>307026</v>
      </c>
      <c r="B10" s="1">
        <v>44672</v>
      </c>
      <c r="C10" s="11">
        <v>1</v>
      </c>
      <c r="E10" s="6">
        <v>307026</v>
      </c>
      <c r="F10" s="1">
        <v>44672</v>
      </c>
      <c r="G10" s="11">
        <v>1</v>
      </c>
      <c r="I10" s="3" t="s">
        <v>16</v>
      </c>
      <c r="J10">
        <v>1</v>
      </c>
      <c r="K10">
        <v>10</v>
      </c>
      <c r="L10">
        <v>16</v>
      </c>
      <c r="M10">
        <v>24</v>
      </c>
      <c r="N10">
        <v>34</v>
      </c>
      <c r="O10">
        <v>52</v>
      </c>
      <c r="P10">
        <v>75</v>
      </c>
    </row>
    <row r="11" spans="1:25" x14ac:dyDescent="0.25">
      <c r="A11" s="6">
        <v>307030</v>
      </c>
      <c r="B11" s="1">
        <v>44611</v>
      </c>
      <c r="C11" s="11">
        <v>3</v>
      </c>
      <c r="E11" s="6">
        <v>307030</v>
      </c>
      <c r="F11" s="1">
        <v>44611</v>
      </c>
      <c r="G11" s="11">
        <v>3</v>
      </c>
      <c r="I11" s="3" t="s">
        <v>17</v>
      </c>
      <c r="J11">
        <v>1</v>
      </c>
      <c r="K11">
        <v>5</v>
      </c>
      <c r="L11">
        <v>14</v>
      </c>
      <c r="M11">
        <v>19</v>
      </c>
      <c r="N11">
        <v>36</v>
      </c>
      <c r="O11">
        <v>48</v>
      </c>
      <c r="P11">
        <v>70</v>
      </c>
    </row>
    <row r="12" spans="1:25" x14ac:dyDescent="0.25">
      <c r="A12" s="6">
        <v>307031</v>
      </c>
      <c r="B12" s="1">
        <v>44858</v>
      </c>
      <c r="C12" s="11">
        <v>5</v>
      </c>
      <c r="E12" s="6">
        <v>307031</v>
      </c>
      <c r="F12" s="1">
        <v>44858</v>
      </c>
      <c r="G12" s="11">
        <v>5</v>
      </c>
      <c r="I12" s="3" t="s">
        <v>18</v>
      </c>
      <c r="J12">
        <v>2</v>
      </c>
      <c r="K12">
        <v>5</v>
      </c>
      <c r="L12">
        <v>13</v>
      </c>
      <c r="M12">
        <v>21</v>
      </c>
      <c r="N12">
        <v>31</v>
      </c>
      <c r="O12">
        <v>44</v>
      </c>
      <c r="P12">
        <v>69</v>
      </c>
    </row>
    <row r="13" spans="1:25" x14ac:dyDescent="0.25">
      <c r="A13" s="6">
        <v>307033</v>
      </c>
      <c r="B13" s="1">
        <v>44675</v>
      </c>
      <c r="C13" s="11">
        <v>3</v>
      </c>
      <c r="E13" s="6">
        <v>307033</v>
      </c>
      <c r="F13" s="1">
        <v>44675</v>
      </c>
      <c r="G13" s="11">
        <v>3</v>
      </c>
      <c r="I13" s="3" t="s">
        <v>3</v>
      </c>
      <c r="J13">
        <v>8</v>
      </c>
      <c r="K13">
        <v>55</v>
      </c>
      <c r="L13">
        <v>144</v>
      </c>
      <c r="M13">
        <v>221</v>
      </c>
      <c r="N13">
        <v>346</v>
      </c>
      <c r="O13">
        <v>494</v>
      </c>
      <c r="P13">
        <v>713</v>
      </c>
    </row>
    <row r="14" spans="1:25" ht="15.75" thickBot="1" x14ac:dyDescent="0.3">
      <c r="A14" s="6">
        <v>307035</v>
      </c>
      <c r="B14" s="1">
        <v>44747</v>
      </c>
      <c r="C14" s="11">
        <v>1</v>
      </c>
      <c r="E14" s="6">
        <v>307035</v>
      </c>
      <c r="F14" s="1">
        <v>44747</v>
      </c>
      <c r="G14" s="11">
        <v>1</v>
      </c>
    </row>
    <row r="15" spans="1:25" x14ac:dyDescent="0.25">
      <c r="A15" s="6">
        <v>307040</v>
      </c>
      <c r="B15" s="1">
        <v>44791</v>
      </c>
      <c r="C15" s="11">
        <v>2</v>
      </c>
      <c r="E15" s="6">
        <v>307040</v>
      </c>
      <c r="F15" s="1">
        <v>44791</v>
      </c>
      <c r="G15" s="11">
        <v>2</v>
      </c>
      <c r="I15" s="46" t="s">
        <v>23</v>
      </c>
      <c r="J15" s="49" t="s">
        <v>33</v>
      </c>
      <c r="K15" s="50" t="s">
        <v>34</v>
      </c>
      <c r="L15" s="50" t="s">
        <v>35</v>
      </c>
      <c r="M15" s="50" t="s">
        <v>36</v>
      </c>
      <c r="N15" s="50" t="s">
        <v>37</v>
      </c>
      <c r="O15" s="50" t="s">
        <v>38</v>
      </c>
      <c r="P15" s="50" t="s">
        <v>39</v>
      </c>
      <c r="Q15" s="16" t="s">
        <v>40</v>
      </c>
      <c r="R15" s="14" t="s">
        <v>41</v>
      </c>
      <c r="S15" s="14" t="s">
        <v>42</v>
      </c>
      <c r="T15" s="14" t="s">
        <v>43</v>
      </c>
      <c r="U15" s="14" t="s">
        <v>44</v>
      </c>
      <c r="V15" s="14" t="s">
        <v>45</v>
      </c>
      <c r="W15" s="5" t="s">
        <v>46</v>
      </c>
      <c r="X15" s="46" t="s">
        <v>47</v>
      </c>
      <c r="Y15" s="46" t="s">
        <v>31</v>
      </c>
    </row>
    <row r="16" spans="1:25" x14ac:dyDescent="0.25">
      <c r="A16" s="6">
        <v>307044</v>
      </c>
      <c r="B16" s="1">
        <v>44778</v>
      </c>
      <c r="C16" s="11">
        <v>3</v>
      </c>
      <c r="E16" s="6">
        <v>307044</v>
      </c>
      <c r="F16" s="1">
        <v>44778</v>
      </c>
      <c r="G16" s="11">
        <v>3</v>
      </c>
      <c r="I16" s="47">
        <v>44562</v>
      </c>
      <c r="J16" s="51">
        <v>77</v>
      </c>
      <c r="K16" s="45">
        <v>59</v>
      </c>
      <c r="L16" s="45">
        <v>39</v>
      </c>
      <c r="M16" s="45">
        <v>25</v>
      </c>
      <c r="N16" s="45">
        <v>15</v>
      </c>
      <c r="O16" s="45">
        <v>7</v>
      </c>
      <c r="P16" s="45">
        <v>0</v>
      </c>
      <c r="Q16" s="54">
        <f>J16/$J16</f>
        <v>1</v>
      </c>
      <c r="R16" s="55">
        <f t="shared" ref="R16:W25" si="0">K16/$J16</f>
        <v>0.76623376623376627</v>
      </c>
      <c r="S16" s="55">
        <f t="shared" si="0"/>
        <v>0.50649350649350644</v>
      </c>
      <c r="T16" s="55">
        <f t="shared" si="0"/>
        <v>0.32467532467532467</v>
      </c>
      <c r="U16" s="55">
        <f t="shared" si="0"/>
        <v>0.19480519480519481</v>
      </c>
      <c r="V16" s="55">
        <f t="shared" si="0"/>
        <v>9.0909090909090912E-2</v>
      </c>
      <c r="W16" s="56">
        <f t="shared" si="0"/>
        <v>0</v>
      </c>
      <c r="X16" s="60">
        <f>SUM(Q16:W16)</f>
        <v>2.883116883116883</v>
      </c>
      <c r="Y16" s="67">
        <f>X16*$S$2</f>
        <v>720.77922077922074</v>
      </c>
    </row>
    <row r="17" spans="1:25" x14ac:dyDescent="0.25">
      <c r="A17" s="6">
        <v>307047</v>
      </c>
      <c r="B17" s="1">
        <v>44591</v>
      </c>
      <c r="C17" s="11">
        <v>1</v>
      </c>
      <c r="E17" s="6">
        <v>307047</v>
      </c>
      <c r="F17" s="1">
        <v>44591</v>
      </c>
      <c r="G17" s="11">
        <v>1</v>
      </c>
      <c r="I17" s="47">
        <v>44593</v>
      </c>
      <c r="J17" s="51">
        <v>70</v>
      </c>
      <c r="K17" s="45">
        <v>53</v>
      </c>
      <c r="L17" s="45">
        <v>41</v>
      </c>
      <c r="M17" s="45">
        <v>28</v>
      </c>
      <c r="N17" s="45">
        <v>15</v>
      </c>
      <c r="O17" s="45">
        <v>7</v>
      </c>
      <c r="P17" s="45">
        <v>0</v>
      </c>
      <c r="Q17" s="54">
        <f t="shared" ref="Q17:Q25" si="1">J17/$J17</f>
        <v>1</v>
      </c>
      <c r="R17" s="55">
        <f t="shared" si="0"/>
        <v>0.75714285714285712</v>
      </c>
      <c r="S17" s="55">
        <f t="shared" si="0"/>
        <v>0.58571428571428574</v>
      </c>
      <c r="T17" s="55">
        <f t="shared" si="0"/>
        <v>0.4</v>
      </c>
      <c r="U17" s="55">
        <f t="shared" si="0"/>
        <v>0.21428571428571427</v>
      </c>
      <c r="V17" s="55">
        <f t="shared" si="0"/>
        <v>0.1</v>
      </c>
      <c r="W17" s="56">
        <f t="shared" si="0"/>
        <v>0</v>
      </c>
      <c r="X17" s="60">
        <f t="shared" ref="X17:X25" si="2">SUM(Q17:W17)</f>
        <v>3.0571428571428574</v>
      </c>
      <c r="Y17" s="67">
        <f t="shared" ref="Y17:Y25" si="3">X17*$S$2</f>
        <v>764.28571428571433</v>
      </c>
    </row>
    <row r="18" spans="1:25" x14ac:dyDescent="0.25">
      <c r="A18" s="6">
        <v>307050</v>
      </c>
      <c r="B18" s="1">
        <v>44566</v>
      </c>
      <c r="C18" s="11">
        <v>3</v>
      </c>
      <c r="E18" s="6">
        <v>307050</v>
      </c>
      <c r="F18" s="1">
        <v>44566</v>
      </c>
      <c r="G18" s="11">
        <v>3</v>
      </c>
      <c r="I18" s="47">
        <v>44621</v>
      </c>
      <c r="J18" s="51">
        <v>78</v>
      </c>
      <c r="K18" s="45">
        <v>52</v>
      </c>
      <c r="L18" s="45">
        <v>39</v>
      </c>
      <c r="M18" s="45">
        <v>27</v>
      </c>
      <c r="N18" s="45">
        <v>16</v>
      </c>
      <c r="O18" s="45">
        <v>4</v>
      </c>
      <c r="P18" s="45">
        <v>0</v>
      </c>
      <c r="Q18" s="54">
        <f t="shared" si="1"/>
        <v>1</v>
      </c>
      <c r="R18" s="55">
        <f t="shared" si="0"/>
        <v>0.66666666666666663</v>
      </c>
      <c r="S18" s="55">
        <f t="shared" si="0"/>
        <v>0.5</v>
      </c>
      <c r="T18" s="55">
        <f t="shared" si="0"/>
        <v>0.34615384615384615</v>
      </c>
      <c r="U18" s="55">
        <f t="shared" si="0"/>
        <v>0.20512820512820512</v>
      </c>
      <c r="V18" s="55">
        <f t="shared" si="0"/>
        <v>5.128205128205128E-2</v>
      </c>
      <c r="W18" s="56">
        <f t="shared" si="0"/>
        <v>0</v>
      </c>
      <c r="X18" s="60">
        <f t="shared" si="2"/>
        <v>2.7692307692307692</v>
      </c>
      <c r="Y18" s="67">
        <f t="shared" si="3"/>
        <v>692.30769230769226</v>
      </c>
    </row>
    <row r="19" spans="1:25" x14ac:dyDescent="0.25">
      <c r="A19" s="6">
        <v>307053</v>
      </c>
      <c r="B19" s="1">
        <v>44839</v>
      </c>
      <c r="C19" s="11">
        <v>2</v>
      </c>
      <c r="E19" s="6">
        <v>307053</v>
      </c>
      <c r="F19" s="1">
        <v>44839</v>
      </c>
      <c r="G19" s="11">
        <v>2</v>
      </c>
      <c r="I19" s="47">
        <v>44652</v>
      </c>
      <c r="J19" s="51">
        <v>61</v>
      </c>
      <c r="K19" s="45">
        <v>43</v>
      </c>
      <c r="L19" s="45">
        <v>25</v>
      </c>
      <c r="M19" s="45">
        <v>14</v>
      </c>
      <c r="N19" s="45">
        <v>11</v>
      </c>
      <c r="O19" s="45">
        <v>5</v>
      </c>
      <c r="P19" s="45">
        <v>2</v>
      </c>
      <c r="Q19" s="54">
        <f t="shared" si="1"/>
        <v>1</v>
      </c>
      <c r="R19" s="55">
        <f t="shared" si="0"/>
        <v>0.70491803278688525</v>
      </c>
      <c r="S19" s="55">
        <f t="shared" si="0"/>
        <v>0.4098360655737705</v>
      </c>
      <c r="T19" s="55">
        <f t="shared" si="0"/>
        <v>0.22950819672131148</v>
      </c>
      <c r="U19" s="55">
        <f t="shared" si="0"/>
        <v>0.18032786885245902</v>
      </c>
      <c r="V19" s="55">
        <f t="shared" si="0"/>
        <v>8.1967213114754092E-2</v>
      </c>
      <c r="W19" s="56">
        <f t="shared" si="0"/>
        <v>3.2786885245901641E-2</v>
      </c>
      <c r="X19" s="60">
        <f t="shared" si="2"/>
        <v>2.639344262295082</v>
      </c>
      <c r="Y19" s="67">
        <f t="shared" si="3"/>
        <v>659.8360655737705</v>
      </c>
    </row>
    <row r="20" spans="1:25" x14ac:dyDescent="0.25">
      <c r="A20" s="6">
        <v>307056</v>
      </c>
      <c r="B20" s="1">
        <v>44702</v>
      </c>
      <c r="C20" s="11">
        <v>1</v>
      </c>
      <c r="E20" s="6">
        <v>307056</v>
      </c>
      <c r="F20" s="1">
        <v>44702</v>
      </c>
      <c r="G20" s="11">
        <v>1</v>
      </c>
      <c r="I20" s="47">
        <v>44682</v>
      </c>
      <c r="J20" s="51">
        <v>70</v>
      </c>
      <c r="K20" s="45">
        <v>40</v>
      </c>
      <c r="L20" s="45">
        <v>25</v>
      </c>
      <c r="M20" s="45">
        <v>17</v>
      </c>
      <c r="N20" s="45">
        <v>11</v>
      </c>
      <c r="O20" s="45">
        <v>0</v>
      </c>
      <c r="P20" s="45">
        <v>0</v>
      </c>
      <c r="Q20" s="54">
        <f t="shared" si="1"/>
        <v>1</v>
      </c>
      <c r="R20" s="55">
        <f t="shared" si="0"/>
        <v>0.5714285714285714</v>
      </c>
      <c r="S20" s="55">
        <f t="shared" si="0"/>
        <v>0.35714285714285715</v>
      </c>
      <c r="T20" s="55">
        <f t="shared" si="0"/>
        <v>0.24285714285714285</v>
      </c>
      <c r="U20" s="55">
        <f t="shared" si="0"/>
        <v>0.15714285714285714</v>
      </c>
      <c r="V20" s="55">
        <f t="shared" si="0"/>
        <v>0</v>
      </c>
      <c r="W20" s="56">
        <f t="shared" si="0"/>
        <v>0</v>
      </c>
      <c r="X20" s="60">
        <f t="shared" si="2"/>
        <v>2.3285714285714283</v>
      </c>
      <c r="Y20" s="67">
        <f t="shared" si="3"/>
        <v>582.14285714285711</v>
      </c>
    </row>
    <row r="21" spans="1:25" x14ac:dyDescent="0.25">
      <c r="A21" s="6">
        <v>307060</v>
      </c>
      <c r="B21" s="1">
        <v>44767</v>
      </c>
      <c r="C21" s="11">
        <v>3</v>
      </c>
      <c r="E21" s="6">
        <v>307060</v>
      </c>
      <c r="F21" s="1">
        <v>44767</v>
      </c>
      <c r="G21" s="11">
        <v>3</v>
      </c>
      <c r="I21" s="47">
        <v>44713</v>
      </c>
      <c r="J21" s="51">
        <v>61</v>
      </c>
      <c r="K21" s="45">
        <v>44</v>
      </c>
      <c r="L21" s="45">
        <v>28</v>
      </c>
      <c r="M21" s="45">
        <v>17</v>
      </c>
      <c r="N21" s="45">
        <v>10</v>
      </c>
      <c r="O21" s="45">
        <v>5</v>
      </c>
      <c r="P21" s="45">
        <v>2</v>
      </c>
      <c r="Q21" s="54">
        <f t="shared" si="1"/>
        <v>1</v>
      </c>
      <c r="R21" s="55">
        <f t="shared" si="0"/>
        <v>0.72131147540983609</v>
      </c>
      <c r="S21" s="55">
        <f t="shared" si="0"/>
        <v>0.45901639344262296</v>
      </c>
      <c r="T21" s="55">
        <f t="shared" si="0"/>
        <v>0.27868852459016391</v>
      </c>
      <c r="U21" s="55">
        <f t="shared" si="0"/>
        <v>0.16393442622950818</v>
      </c>
      <c r="V21" s="55">
        <f t="shared" si="0"/>
        <v>8.1967213114754092E-2</v>
      </c>
      <c r="W21" s="56">
        <f t="shared" si="0"/>
        <v>3.2786885245901641E-2</v>
      </c>
      <c r="X21" s="60">
        <f t="shared" si="2"/>
        <v>2.737704918032787</v>
      </c>
      <c r="Y21" s="67">
        <f t="shared" si="3"/>
        <v>684.4262295081968</v>
      </c>
    </row>
    <row r="22" spans="1:25" x14ac:dyDescent="0.25">
      <c r="A22" s="6">
        <v>307063</v>
      </c>
      <c r="B22" s="1">
        <v>44776</v>
      </c>
      <c r="C22" s="11">
        <v>1</v>
      </c>
      <c r="E22" s="6">
        <v>307063</v>
      </c>
      <c r="F22" s="1">
        <v>44776</v>
      </c>
      <c r="G22" s="11">
        <v>1</v>
      </c>
      <c r="I22" s="47">
        <v>44743</v>
      </c>
      <c r="J22" s="51">
        <v>82</v>
      </c>
      <c r="K22" s="45">
        <v>59</v>
      </c>
      <c r="L22" s="45">
        <v>48</v>
      </c>
      <c r="M22" s="45">
        <v>29</v>
      </c>
      <c r="N22" s="45">
        <v>23</v>
      </c>
      <c r="O22" s="45">
        <v>7</v>
      </c>
      <c r="P22" s="45">
        <v>0</v>
      </c>
      <c r="Q22" s="54">
        <f t="shared" si="1"/>
        <v>1</v>
      </c>
      <c r="R22" s="55">
        <f t="shared" si="0"/>
        <v>0.71951219512195119</v>
      </c>
      <c r="S22" s="55">
        <f t="shared" si="0"/>
        <v>0.58536585365853655</v>
      </c>
      <c r="T22" s="55">
        <f t="shared" si="0"/>
        <v>0.35365853658536583</v>
      </c>
      <c r="U22" s="55">
        <f t="shared" si="0"/>
        <v>0.28048780487804881</v>
      </c>
      <c r="V22" s="55">
        <f t="shared" si="0"/>
        <v>8.5365853658536592E-2</v>
      </c>
      <c r="W22" s="56">
        <f t="shared" si="0"/>
        <v>0</v>
      </c>
      <c r="X22" s="60">
        <f t="shared" si="2"/>
        <v>3.0243902439024386</v>
      </c>
      <c r="Y22" s="67">
        <f t="shared" si="3"/>
        <v>756.09756097560967</v>
      </c>
    </row>
    <row r="23" spans="1:25" x14ac:dyDescent="0.25">
      <c r="A23" s="6">
        <v>307068</v>
      </c>
      <c r="B23" s="1">
        <v>44714</v>
      </c>
      <c r="C23" s="11">
        <v>1</v>
      </c>
      <c r="E23" s="6">
        <v>307068</v>
      </c>
      <c r="F23" s="1">
        <v>44714</v>
      </c>
      <c r="G23" s="11">
        <v>1</v>
      </c>
      <c r="I23" s="47">
        <v>44774</v>
      </c>
      <c r="J23" s="51">
        <v>75</v>
      </c>
      <c r="K23" s="45">
        <v>52</v>
      </c>
      <c r="L23" s="45">
        <v>34</v>
      </c>
      <c r="M23" s="45">
        <v>24</v>
      </c>
      <c r="N23" s="45">
        <v>16</v>
      </c>
      <c r="O23" s="45">
        <v>10</v>
      </c>
      <c r="P23" s="45">
        <v>1</v>
      </c>
      <c r="Q23" s="54">
        <f t="shared" si="1"/>
        <v>1</v>
      </c>
      <c r="R23" s="55">
        <f t="shared" si="0"/>
        <v>0.69333333333333336</v>
      </c>
      <c r="S23" s="55">
        <f t="shared" si="0"/>
        <v>0.45333333333333331</v>
      </c>
      <c r="T23" s="55">
        <f t="shared" si="0"/>
        <v>0.32</v>
      </c>
      <c r="U23" s="55">
        <f t="shared" si="0"/>
        <v>0.21333333333333335</v>
      </c>
      <c r="V23" s="55">
        <f t="shared" si="0"/>
        <v>0.13333333333333333</v>
      </c>
      <c r="W23" s="56">
        <f t="shared" si="0"/>
        <v>1.3333333333333334E-2</v>
      </c>
      <c r="X23" s="60">
        <f t="shared" si="2"/>
        <v>2.8266666666666662</v>
      </c>
      <c r="Y23" s="67">
        <f t="shared" si="3"/>
        <v>706.66666666666652</v>
      </c>
    </row>
    <row r="24" spans="1:25" x14ac:dyDescent="0.25">
      <c r="A24" s="6">
        <v>307071</v>
      </c>
      <c r="B24" s="1">
        <v>44687</v>
      </c>
      <c r="C24" s="11">
        <v>2</v>
      </c>
      <c r="E24" s="6">
        <v>307071</v>
      </c>
      <c r="F24" s="1">
        <v>44687</v>
      </c>
      <c r="G24" s="11">
        <v>2</v>
      </c>
      <c r="I24" s="47">
        <v>44805</v>
      </c>
      <c r="J24" s="51">
        <v>70</v>
      </c>
      <c r="K24" s="45">
        <v>48</v>
      </c>
      <c r="L24" s="45">
        <v>36</v>
      </c>
      <c r="M24" s="45">
        <v>19</v>
      </c>
      <c r="N24" s="45">
        <v>14</v>
      </c>
      <c r="O24" s="45">
        <v>5</v>
      </c>
      <c r="P24" s="45">
        <v>1</v>
      </c>
      <c r="Q24" s="54">
        <f t="shared" si="1"/>
        <v>1</v>
      </c>
      <c r="R24" s="55">
        <f t="shared" si="0"/>
        <v>0.68571428571428572</v>
      </c>
      <c r="S24" s="55">
        <f t="shared" si="0"/>
        <v>0.51428571428571423</v>
      </c>
      <c r="T24" s="55">
        <f t="shared" si="0"/>
        <v>0.27142857142857141</v>
      </c>
      <c r="U24" s="55">
        <f t="shared" si="0"/>
        <v>0.2</v>
      </c>
      <c r="V24" s="55">
        <f t="shared" si="0"/>
        <v>7.1428571428571425E-2</v>
      </c>
      <c r="W24" s="56">
        <f t="shared" si="0"/>
        <v>1.4285714285714285E-2</v>
      </c>
      <c r="X24" s="60">
        <f t="shared" si="2"/>
        <v>2.7571428571428576</v>
      </c>
      <c r="Y24" s="67">
        <f t="shared" si="3"/>
        <v>689.28571428571433</v>
      </c>
    </row>
    <row r="25" spans="1:25" ht="15.75" thickBot="1" x14ac:dyDescent="0.3">
      <c r="A25" s="6">
        <v>307075</v>
      </c>
      <c r="B25" s="1">
        <v>44741</v>
      </c>
      <c r="C25" s="11">
        <v>1</v>
      </c>
      <c r="E25" s="6">
        <v>307075</v>
      </c>
      <c r="F25" s="1">
        <v>44741</v>
      </c>
      <c r="G25" s="11">
        <v>1</v>
      </c>
      <c r="I25" s="48">
        <v>44835</v>
      </c>
      <c r="J25" s="52">
        <v>69</v>
      </c>
      <c r="K25" s="53">
        <v>44</v>
      </c>
      <c r="L25" s="53">
        <v>31</v>
      </c>
      <c r="M25" s="53">
        <v>21</v>
      </c>
      <c r="N25" s="53">
        <v>13</v>
      </c>
      <c r="O25" s="53">
        <v>5</v>
      </c>
      <c r="P25" s="53">
        <v>2</v>
      </c>
      <c r="Q25" s="57">
        <f t="shared" si="1"/>
        <v>1</v>
      </c>
      <c r="R25" s="58">
        <f t="shared" si="0"/>
        <v>0.6376811594202898</v>
      </c>
      <c r="S25" s="58">
        <f t="shared" si="0"/>
        <v>0.44927536231884058</v>
      </c>
      <c r="T25" s="58">
        <f t="shared" si="0"/>
        <v>0.30434782608695654</v>
      </c>
      <c r="U25" s="58">
        <f t="shared" si="0"/>
        <v>0.18840579710144928</v>
      </c>
      <c r="V25" s="58">
        <f t="shared" si="0"/>
        <v>7.2463768115942032E-2</v>
      </c>
      <c r="W25" s="59">
        <f t="shared" si="0"/>
        <v>2.8985507246376812E-2</v>
      </c>
      <c r="X25" s="61">
        <f t="shared" si="2"/>
        <v>2.681159420289855</v>
      </c>
      <c r="Y25" s="68">
        <f t="shared" si="3"/>
        <v>670.28985507246375</v>
      </c>
    </row>
    <row r="26" spans="1:25" ht="15.75" thickBot="1" x14ac:dyDescent="0.3">
      <c r="A26" s="6">
        <v>307079</v>
      </c>
      <c r="B26" s="1">
        <v>44698</v>
      </c>
      <c r="C26" s="11">
        <v>2</v>
      </c>
      <c r="E26" s="6">
        <v>307079</v>
      </c>
      <c r="F26" s="1">
        <v>44698</v>
      </c>
      <c r="G26" s="11">
        <v>2</v>
      </c>
      <c r="I26" s="1"/>
      <c r="X26" s="62">
        <f>SUMPRODUCT(X16:X25,J16:J25)/SUM(J16:J25)</f>
        <v>2.7784011220196354</v>
      </c>
      <c r="Y26" s="22">
        <f>SUMPRODUCT(Y16:Y25,J16:J25)/SUM(J16:J25)</f>
        <v>694.60028050490882</v>
      </c>
    </row>
    <row r="27" spans="1:25" x14ac:dyDescent="0.25">
      <c r="A27" s="6">
        <v>307081</v>
      </c>
      <c r="B27" s="1">
        <v>44789</v>
      </c>
      <c r="C27" s="11">
        <v>4</v>
      </c>
      <c r="E27" s="6">
        <v>307081</v>
      </c>
      <c r="F27" s="1">
        <v>44789</v>
      </c>
      <c r="G27" s="11">
        <v>4</v>
      </c>
      <c r="I27" s="1"/>
    </row>
    <row r="28" spans="1:25" ht="15.75" thickBot="1" x14ac:dyDescent="0.3">
      <c r="A28" s="6">
        <v>307083</v>
      </c>
      <c r="B28" s="1">
        <v>44704</v>
      </c>
      <c r="C28" s="11">
        <v>3</v>
      </c>
      <c r="E28" s="6">
        <v>307083</v>
      </c>
      <c r="F28" s="1">
        <v>44704</v>
      </c>
      <c r="G28" s="11">
        <v>3</v>
      </c>
      <c r="I28" s="1"/>
    </row>
    <row r="29" spans="1:25" ht="15.75" thickBot="1" x14ac:dyDescent="0.3">
      <c r="A29" s="6">
        <v>307086</v>
      </c>
      <c r="B29" s="1">
        <v>44824</v>
      </c>
      <c r="C29" s="11">
        <v>3</v>
      </c>
      <c r="E29" s="6">
        <v>307086</v>
      </c>
      <c r="F29" s="1">
        <v>44824</v>
      </c>
      <c r="G29" s="11">
        <v>3</v>
      </c>
      <c r="I29" s="1"/>
      <c r="R29" s="31"/>
    </row>
    <row r="30" spans="1:25" x14ac:dyDescent="0.25">
      <c r="A30" s="6">
        <v>307090</v>
      </c>
      <c r="B30" s="1">
        <v>44834</v>
      </c>
      <c r="C30" s="11">
        <v>1</v>
      </c>
      <c r="E30" s="6">
        <v>307090</v>
      </c>
      <c r="F30" s="1">
        <v>44834</v>
      </c>
      <c r="G30" s="11">
        <v>1</v>
      </c>
      <c r="I30" s="1"/>
    </row>
    <row r="31" spans="1:25" x14ac:dyDescent="0.25">
      <c r="A31" s="6">
        <v>307091</v>
      </c>
      <c r="B31" s="1">
        <v>44787</v>
      </c>
      <c r="C31" s="11">
        <v>5</v>
      </c>
      <c r="E31" s="6">
        <v>307091</v>
      </c>
      <c r="F31" s="1">
        <v>44787</v>
      </c>
      <c r="G31" s="11">
        <v>5</v>
      </c>
      <c r="I31" s="1"/>
    </row>
    <row r="32" spans="1:25" x14ac:dyDescent="0.25">
      <c r="A32" s="6">
        <v>307092</v>
      </c>
      <c r="B32" s="1">
        <v>44733</v>
      </c>
      <c r="C32" s="11">
        <v>2</v>
      </c>
      <c r="E32" s="6">
        <v>307092</v>
      </c>
      <c r="F32" s="1">
        <v>44733</v>
      </c>
      <c r="G32" s="11">
        <v>2</v>
      </c>
    </row>
    <row r="33" spans="1:7" x14ac:dyDescent="0.25">
      <c r="A33" s="6">
        <v>307094</v>
      </c>
      <c r="B33" s="1">
        <v>44618</v>
      </c>
      <c r="C33" s="11">
        <v>6</v>
      </c>
      <c r="E33" s="6">
        <v>307094</v>
      </c>
      <c r="F33" s="1">
        <v>44618</v>
      </c>
      <c r="G33" s="11">
        <v>6</v>
      </c>
    </row>
    <row r="34" spans="1:7" x14ac:dyDescent="0.25">
      <c r="A34" s="6">
        <v>307095</v>
      </c>
      <c r="B34" s="1">
        <v>44759</v>
      </c>
      <c r="C34" s="11">
        <v>6</v>
      </c>
      <c r="E34" s="6">
        <v>307095</v>
      </c>
      <c r="F34" s="1">
        <v>44759</v>
      </c>
      <c r="G34" s="11">
        <v>6</v>
      </c>
    </row>
    <row r="35" spans="1:7" x14ac:dyDescent="0.25">
      <c r="A35" s="6">
        <v>307099</v>
      </c>
      <c r="B35" s="1">
        <v>44729</v>
      </c>
      <c r="C35" s="11">
        <v>1</v>
      </c>
      <c r="E35" s="6">
        <v>307099</v>
      </c>
      <c r="F35" s="1">
        <v>44729</v>
      </c>
      <c r="G35" s="11">
        <v>1</v>
      </c>
    </row>
    <row r="36" spans="1:7" x14ac:dyDescent="0.25">
      <c r="A36" s="6">
        <v>307101</v>
      </c>
      <c r="B36" s="1">
        <v>44715</v>
      </c>
      <c r="C36" s="11">
        <v>3</v>
      </c>
      <c r="E36" s="6">
        <v>307101</v>
      </c>
      <c r="F36" s="1">
        <v>44715</v>
      </c>
      <c r="G36" s="11">
        <v>3</v>
      </c>
    </row>
    <row r="37" spans="1:7" x14ac:dyDescent="0.25">
      <c r="A37" s="6">
        <v>307102</v>
      </c>
      <c r="B37" s="1">
        <v>44731</v>
      </c>
      <c r="C37" s="11">
        <v>1</v>
      </c>
      <c r="E37" s="6">
        <v>307102</v>
      </c>
      <c r="F37" s="1">
        <v>44731</v>
      </c>
      <c r="G37" s="11">
        <v>1</v>
      </c>
    </row>
    <row r="38" spans="1:7" x14ac:dyDescent="0.25">
      <c r="A38" s="6">
        <v>307106</v>
      </c>
      <c r="B38" s="1">
        <v>44839</v>
      </c>
      <c r="C38" s="11">
        <v>1</v>
      </c>
      <c r="E38" s="6">
        <v>307106</v>
      </c>
      <c r="F38" s="1">
        <v>44839</v>
      </c>
      <c r="G38" s="11">
        <v>1</v>
      </c>
    </row>
    <row r="39" spans="1:7" x14ac:dyDescent="0.25">
      <c r="A39" s="6">
        <v>307111</v>
      </c>
      <c r="B39" s="1">
        <v>44669</v>
      </c>
      <c r="C39" s="11">
        <v>2</v>
      </c>
      <c r="E39" s="6">
        <v>307111</v>
      </c>
      <c r="F39" s="1">
        <v>44669</v>
      </c>
      <c r="G39" s="11">
        <v>2</v>
      </c>
    </row>
    <row r="40" spans="1:7" x14ac:dyDescent="0.25">
      <c r="A40" s="6">
        <v>307116</v>
      </c>
      <c r="B40" s="1">
        <v>44710</v>
      </c>
      <c r="C40" s="11">
        <v>2</v>
      </c>
      <c r="E40" s="6">
        <v>307116</v>
      </c>
      <c r="F40" s="1">
        <v>44710</v>
      </c>
      <c r="G40" s="11">
        <v>2</v>
      </c>
    </row>
    <row r="41" spans="1:7" x14ac:dyDescent="0.25">
      <c r="A41" s="6">
        <v>307117</v>
      </c>
      <c r="B41" s="1">
        <v>44619</v>
      </c>
      <c r="C41" s="11">
        <v>1</v>
      </c>
      <c r="E41" s="6">
        <v>307117</v>
      </c>
      <c r="F41" s="1">
        <v>44619</v>
      </c>
      <c r="G41" s="11">
        <v>1</v>
      </c>
    </row>
    <row r="42" spans="1:7" x14ac:dyDescent="0.25">
      <c r="A42" s="6">
        <v>307121</v>
      </c>
      <c r="B42" s="1">
        <v>44858</v>
      </c>
      <c r="C42" s="11">
        <v>1</v>
      </c>
      <c r="E42" s="6">
        <v>307121</v>
      </c>
      <c r="F42" s="1">
        <v>44858</v>
      </c>
      <c r="G42" s="11">
        <v>1</v>
      </c>
    </row>
    <row r="43" spans="1:7" x14ac:dyDescent="0.25">
      <c r="A43" s="6">
        <v>307122</v>
      </c>
      <c r="B43" s="1">
        <v>44762</v>
      </c>
      <c r="C43" s="11">
        <v>1</v>
      </c>
      <c r="E43" s="6">
        <v>307122</v>
      </c>
      <c r="F43" s="1">
        <v>44762</v>
      </c>
      <c r="G43" s="11">
        <v>1</v>
      </c>
    </row>
    <row r="44" spans="1:7" x14ac:dyDescent="0.25">
      <c r="A44" s="6">
        <v>307123</v>
      </c>
      <c r="B44" s="1">
        <v>44577</v>
      </c>
      <c r="C44" s="11">
        <v>1</v>
      </c>
      <c r="E44" s="6">
        <v>307123</v>
      </c>
      <c r="F44" s="1">
        <v>44577</v>
      </c>
      <c r="G44" s="11">
        <v>1</v>
      </c>
    </row>
    <row r="45" spans="1:7" x14ac:dyDescent="0.25">
      <c r="A45" s="6">
        <v>307124</v>
      </c>
      <c r="B45" s="1">
        <v>44616</v>
      </c>
      <c r="C45" s="11">
        <v>3</v>
      </c>
      <c r="E45" s="6">
        <v>307124</v>
      </c>
      <c r="F45" s="1">
        <v>44616</v>
      </c>
      <c r="G45" s="11">
        <v>3</v>
      </c>
    </row>
    <row r="46" spans="1:7" x14ac:dyDescent="0.25">
      <c r="A46" s="6">
        <v>307128</v>
      </c>
      <c r="B46" s="1">
        <v>44630</v>
      </c>
      <c r="C46" s="11">
        <v>2</v>
      </c>
      <c r="E46" s="6">
        <v>307128</v>
      </c>
      <c r="F46" s="1">
        <v>44630</v>
      </c>
      <c r="G46" s="11">
        <v>2</v>
      </c>
    </row>
    <row r="47" spans="1:7" x14ac:dyDescent="0.25">
      <c r="A47" s="6">
        <v>307131</v>
      </c>
      <c r="B47" s="1">
        <v>44801</v>
      </c>
      <c r="C47" s="11">
        <v>6</v>
      </c>
      <c r="E47" s="6">
        <v>307131</v>
      </c>
      <c r="F47" s="1">
        <v>44801</v>
      </c>
      <c r="G47" s="11">
        <v>6</v>
      </c>
    </row>
    <row r="48" spans="1:7" x14ac:dyDescent="0.25">
      <c r="A48" s="6">
        <v>307133</v>
      </c>
      <c r="B48" s="1">
        <v>44813</v>
      </c>
      <c r="C48" s="11">
        <v>1</v>
      </c>
      <c r="E48" s="6">
        <v>307133</v>
      </c>
      <c r="F48" s="1">
        <v>44813</v>
      </c>
      <c r="G48" s="11">
        <v>1</v>
      </c>
    </row>
    <row r="49" spans="1:7" x14ac:dyDescent="0.25">
      <c r="A49" s="6">
        <v>307134</v>
      </c>
      <c r="B49" s="1">
        <v>44710</v>
      </c>
      <c r="C49" s="11">
        <v>1</v>
      </c>
      <c r="E49" s="6">
        <v>307134</v>
      </c>
      <c r="F49" s="1">
        <v>44710</v>
      </c>
      <c r="G49" s="11">
        <v>1</v>
      </c>
    </row>
    <row r="50" spans="1:7" x14ac:dyDescent="0.25">
      <c r="A50" s="6">
        <v>307138</v>
      </c>
      <c r="B50" s="1">
        <v>44848</v>
      </c>
      <c r="C50" s="11">
        <v>2</v>
      </c>
      <c r="E50" s="6">
        <v>307138</v>
      </c>
      <c r="F50" s="1">
        <v>44848</v>
      </c>
      <c r="G50" s="11">
        <v>2</v>
      </c>
    </row>
    <row r="51" spans="1:7" x14ac:dyDescent="0.25">
      <c r="A51" s="6">
        <v>307143</v>
      </c>
      <c r="B51" s="1">
        <v>44804</v>
      </c>
      <c r="C51" s="11">
        <v>6</v>
      </c>
      <c r="E51" s="6">
        <v>307143</v>
      </c>
      <c r="F51" s="1">
        <v>44804</v>
      </c>
      <c r="G51" s="11">
        <v>6</v>
      </c>
    </row>
    <row r="52" spans="1:7" x14ac:dyDescent="0.25">
      <c r="A52" s="6">
        <v>307145</v>
      </c>
      <c r="B52" s="1">
        <v>44702</v>
      </c>
      <c r="C52" s="11">
        <v>2</v>
      </c>
      <c r="E52" s="6">
        <v>307145</v>
      </c>
      <c r="F52" s="1">
        <v>44702</v>
      </c>
      <c r="G52" s="11">
        <v>2</v>
      </c>
    </row>
    <row r="53" spans="1:7" x14ac:dyDescent="0.25">
      <c r="A53" s="6">
        <v>307149</v>
      </c>
      <c r="B53" s="1">
        <v>44750</v>
      </c>
      <c r="C53" s="11">
        <v>5</v>
      </c>
      <c r="E53" s="6">
        <v>307149</v>
      </c>
      <c r="F53" s="1">
        <v>44750</v>
      </c>
      <c r="G53" s="11">
        <v>5</v>
      </c>
    </row>
    <row r="54" spans="1:7" x14ac:dyDescent="0.25">
      <c r="A54" s="6">
        <v>307153</v>
      </c>
      <c r="B54" s="1">
        <v>44626</v>
      </c>
      <c r="C54" s="11">
        <v>6</v>
      </c>
      <c r="E54" s="6">
        <v>307153</v>
      </c>
      <c r="F54" s="1">
        <v>44626</v>
      </c>
      <c r="G54" s="11">
        <v>6</v>
      </c>
    </row>
    <row r="55" spans="1:7" x14ac:dyDescent="0.25">
      <c r="A55" s="6">
        <v>307154</v>
      </c>
      <c r="B55" s="1">
        <v>44746</v>
      </c>
      <c r="C55" s="11">
        <v>5</v>
      </c>
      <c r="E55" s="6">
        <v>307154</v>
      </c>
      <c r="F55" s="1">
        <v>44746</v>
      </c>
      <c r="G55" s="11">
        <v>5</v>
      </c>
    </row>
    <row r="56" spans="1:7" x14ac:dyDescent="0.25">
      <c r="A56" s="6">
        <v>307159</v>
      </c>
      <c r="B56" s="1">
        <v>44566</v>
      </c>
      <c r="C56" s="11">
        <v>4</v>
      </c>
      <c r="E56" s="6">
        <v>307159</v>
      </c>
      <c r="F56" s="1">
        <v>44566</v>
      </c>
      <c r="G56" s="11">
        <v>4</v>
      </c>
    </row>
    <row r="57" spans="1:7" x14ac:dyDescent="0.25">
      <c r="A57" s="6">
        <v>307161</v>
      </c>
      <c r="B57" s="1">
        <v>44630</v>
      </c>
      <c r="C57" s="11">
        <v>5</v>
      </c>
      <c r="E57" s="6">
        <v>307161</v>
      </c>
      <c r="F57" s="1">
        <v>44630</v>
      </c>
      <c r="G57" s="11">
        <v>5</v>
      </c>
    </row>
    <row r="58" spans="1:7" x14ac:dyDescent="0.25">
      <c r="A58" s="6">
        <v>307166</v>
      </c>
      <c r="B58" s="1">
        <v>44788</v>
      </c>
      <c r="C58" s="11">
        <v>4</v>
      </c>
      <c r="E58" s="6">
        <v>307166</v>
      </c>
      <c r="F58" s="1">
        <v>44788</v>
      </c>
      <c r="G58" s="11">
        <v>4</v>
      </c>
    </row>
    <row r="59" spans="1:7" x14ac:dyDescent="0.25">
      <c r="A59" s="6">
        <v>307169</v>
      </c>
      <c r="B59" s="1">
        <v>44578</v>
      </c>
      <c r="C59" s="11">
        <v>4</v>
      </c>
      <c r="E59" s="6">
        <v>307169</v>
      </c>
      <c r="F59" s="1">
        <v>44578</v>
      </c>
      <c r="G59" s="11">
        <v>4</v>
      </c>
    </row>
    <row r="60" spans="1:7" x14ac:dyDescent="0.25">
      <c r="A60" s="6">
        <v>307170</v>
      </c>
      <c r="B60" s="1">
        <v>44857</v>
      </c>
      <c r="C60" s="11">
        <v>1</v>
      </c>
      <c r="E60" s="6">
        <v>307170</v>
      </c>
      <c r="F60" s="1">
        <v>44857</v>
      </c>
      <c r="G60" s="11">
        <v>1</v>
      </c>
    </row>
    <row r="61" spans="1:7" x14ac:dyDescent="0.25">
      <c r="A61" s="6">
        <v>307172</v>
      </c>
      <c r="B61" s="1">
        <v>44843</v>
      </c>
      <c r="C61" s="11">
        <v>2</v>
      </c>
      <c r="E61" s="6">
        <v>307172</v>
      </c>
      <c r="F61" s="1">
        <v>44843</v>
      </c>
      <c r="G61" s="11">
        <v>2</v>
      </c>
    </row>
    <row r="62" spans="1:7" x14ac:dyDescent="0.25">
      <c r="A62" s="6">
        <v>307176</v>
      </c>
      <c r="B62" s="1">
        <v>44769</v>
      </c>
      <c r="C62" s="11">
        <v>2</v>
      </c>
      <c r="E62" s="6">
        <v>307176</v>
      </c>
      <c r="F62" s="1">
        <v>44769</v>
      </c>
      <c r="G62" s="11">
        <v>2</v>
      </c>
    </row>
    <row r="63" spans="1:7" x14ac:dyDescent="0.25">
      <c r="A63" s="6">
        <v>307178</v>
      </c>
      <c r="B63" s="1">
        <v>44804</v>
      </c>
      <c r="C63" s="11">
        <v>2</v>
      </c>
      <c r="E63" s="6">
        <v>307178</v>
      </c>
      <c r="F63" s="1">
        <v>44804</v>
      </c>
      <c r="G63" s="11">
        <v>2</v>
      </c>
    </row>
    <row r="64" spans="1:7" x14ac:dyDescent="0.25">
      <c r="A64" s="6">
        <v>307183</v>
      </c>
      <c r="B64" s="1">
        <v>44577</v>
      </c>
      <c r="C64" s="11">
        <v>4</v>
      </c>
      <c r="E64" s="6">
        <v>307183</v>
      </c>
      <c r="F64" s="1">
        <v>44577</v>
      </c>
      <c r="G64" s="11">
        <v>4</v>
      </c>
    </row>
    <row r="65" spans="1:7" x14ac:dyDescent="0.25">
      <c r="A65" s="6">
        <v>307186</v>
      </c>
      <c r="B65" s="1">
        <v>44579</v>
      </c>
      <c r="C65" s="11">
        <v>2</v>
      </c>
      <c r="E65" s="6">
        <v>307186</v>
      </c>
      <c r="F65" s="1">
        <v>44579</v>
      </c>
      <c r="G65" s="11">
        <v>2</v>
      </c>
    </row>
    <row r="66" spans="1:7" x14ac:dyDescent="0.25">
      <c r="A66" s="6">
        <v>307190</v>
      </c>
      <c r="B66" s="1">
        <v>44582</v>
      </c>
      <c r="C66" s="11">
        <v>4</v>
      </c>
      <c r="E66" s="6">
        <v>307190</v>
      </c>
      <c r="F66" s="1">
        <v>44582</v>
      </c>
      <c r="G66" s="11">
        <v>4</v>
      </c>
    </row>
    <row r="67" spans="1:7" x14ac:dyDescent="0.25">
      <c r="A67" s="6">
        <v>307192</v>
      </c>
      <c r="B67" s="1">
        <v>44596</v>
      </c>
      <c r="C67" s="11">
        <v>6</v>
      </c>
      <c r="E67" s="6">
        <v>307192</v>
      </c>
      <c r="F67" s="1">
        <v>44596</v>
      </c>
      <c r="G67" s="11">
        <v>6</v>
      </c>
    </row>
    <row r="68" spans="1:7" x14ac:dyDescent="0.25">
      <c r="A68" s="6">
        <v>307197</v>
      </c>
      <c r="B68" s="1">
        <v>44707</v>
      </c>
      <c r="C68" s="11">
        <v>1</v>
      </c>
      <c r="E68" s="6">
        <v>307197</v>
      </c>
      <c r="F68" s="1">
        <v>44707</v>
      </c>
      <c r="G68" s="11">
        <v>1</v>
      </c>
    </row>
    <row r="69" spans="1:7" x14ac:dyDescent="0.25">
      <c r="A69" s="6">
        <v>307200</v>
      </c>
      <c r="B69" s="1">
        <v>44623</v>
      </c>
      <c r="C69" s="11">
        <v>4</v>
      </c>
      <c r="E69" s="6">
        <v>307200</v>
      </c>
      <c r="F69" s="1">
        <v>44623</v>
      </c>
      <c r="G69" s="11">
        <v>4</v>
      </c>
    </row>
    <row r="70" spans="1:7" x14ac:dyDescent="0.25">
      <c r="A70" s="6">
        <v>307204</v>
      </c>
      <c r="B70" s="1">
        <v>44819</v>
      </c>
      <c r="C70" s="11">
        <v>1</v>
      </c>
      <c r="E70" s="6">
        <v>307204</v>
      </c>
      <c r="F70" s="1">
        <v>44819</v>
      </c>
      <c r="G70" s="11">
        <v>1</v>
      </c>
    </row>
    <row r="71" spans="1:7" x14ac:dyDescent="0.25">
      <c r="A71" s="6">
        <v>307207</v>
      </c>
      <c r="B71" s="1">
        <v>44798</v>
      </c>
      <c r="C71" s="11">
        <v>2</v>
      </c>
      <c r="E71" s="6">
        <v>307207</v>
      </c>
      <c r="F71" s="1">
        <v>44798</v>
      </c>
      <c r="G71" s="11">
        <v>2</v>
      </c>
    </row>
    <row r="72" spans="1:7" x14ac:dyDescent="0.25">
      <c r="A72" s="6">
        <v>307212</v>
      </c>
      <c r="B72" s="1">
        <v>44623</v>
      </c>
      <c r="C72" s="11">
        <v>1</v>
      </c>
      <c r="E72" s="6">
        <v>307212</v>
      </c>
      <c r="F72" s="1">
        <v>44623</v>
      </c>
      <c r="G72" s="11">
        <v>1</v>
      </c>
    </row>
    <row r="73" spans="1:7" x14ac:dyDescent="0.25">
      <c r="A73" s="6">
        <v>307215</v>
      </c>
      <c r="B73" s="1">
        <v>44749</v>
      </c>
      <c r="C73" s="11">
        <v>1</v>
      </c>
      <c r="E73" s="6">
        <v>307215</v>
      </c>
      <c r="F73" s="1">
        <v>44749</v>
      </c>
      <c r="G73" s="11">
        <v>1</v>
      </c>
    </row>
    <row r="74" spans="1:7" x14ac:dyDescent="0.25">
      <c r="A74" s="6">
        <v>307216</v>
      </c>
      <c r="B74" s="1">
        <v>44568</v>
      </c>
      <c r="C74" s="11">
        <v>3</v>
      </c>
      <c r="E74" s="6">
        <v>307216</v>
      </c>
      <c r="F74" s="1">
        <v>44568</v>
      </c>
      <c r="G74" s="11">
        <v>3</v>
      </c>
    </row>
    <row r="75" spans="1:7" x14ac:dyDescent="0.25">
      <c r="A75" s="6">
        <v>307217</v>
      </c>
      <c r="B75" s="1">
        <v>44603</v>
      </c>
      <c r="C75" s="11">
        <v>3</v>
      </c>
      <c r="E75" s="6">
        <v>307217</v>
      </c>
      <c r="F75" s="1">
        <v>44603</v>
      </c>
      <c r="G75" s="11">
        <v>3</v>
      </c>
    </row>
    <row r="76" spans="1:7" x14ac:dyDescent="0.25">
      <c r="A76" s="6">
        <v>307219</v>
      </c>
      <c r="B76" s="1">
        <v>44747</v>
      </c>
      <c r="C76" s="11">
        <v>3</v>
      </c>
      <c r="E76" s="6">
        <v>307219</v>
      </c>
      <c r="F76" s="1">
        <v>44747</v>
      </c>
      <c r="G76" s="11">
        <v>3</v>
      </c>
    </row>
    <row r="77" spans="1:7" x14ac:dyDescent="0.25">
      <c r="A77" s="6">
        <v>307223</v>
      </c>
      <c r="B77" s="1">
        <v>44842</v>
      </c>
      <c r="C77" s="11">
        <v>1</v>
      </c>
      <c r="E77" s="6">
        <v>307223</v>
      </c>
      <c r="F77" s="1">
        <v>44842</v>
      </c>
      <c r="G77" s="11">
        <v>1</v>
      </c>
    </row>
    <row r="78" spans="1:7" x14ac:dyDescent="0.25">
      <c r="A78" s="6">
        <v>307226</v>
      </c>
      <c r="B78" s="1">
        <v>44707</v>
      </c>
      <c r="C78" s="11">
        <v>4</v>
      </c>
      <c r="E78" s="6">
        <v>307226</v>
      </c>
      <c r="F78" s="1">
        <v>44707</v>
      </c>
      <c r="G78" s="11">
        <v>4</v>
      </c>
    </row>
    <row r="79" spans="1:7" x14ac:dyDescent="0.25">
      <c r="A79" s="6">
        <v>307227</v>
      </c>
      <c r="B79" s="1">
        <v>44606</v>
      </c>
      <c r="C79" s="11">
        <v>4</v>
      </c>
      <c r="E79" s="6">
        <v>307227</v>
      </c>
      <c r="F79" s="1">
        <v>44606</v>
      </c>
      <c r="G79" s="11">
        <v>4</v>
      </c>
    </row>
    <row r="80" spans="1:7" x14ac:dyDescent="0.25">
      <c r="A80" s="6">
        <v>307231</v>
      </c>
      <c r="B80" s="1">
        <v>44660</v>
      </c>
      <c r="C80" s="11">
        <v>4</v>
      </c>
      <c r="E80" s="6">
        <v>307231</v>
      </c>
      <c r="F80" s="1">
        <v>44660</v>
      </c>
      <c r="G80" s="11">
        <v>4</v>
      </c>
    </row>
    <row r="81" spans="1:7" x14ac:dyDescent="0.25">
      <c r="A81" s="6">
        <v>307233</v>
      </c>
      <c r="B81" s="1">
        <v>44756</v>
      </c>
      <c r="C81" s="11">
        <v>1</v>
      </c>
      <c r="E81" s="6">
        <v>307233</v>
      </c>
      <c r="F81" s="1">
        <v>44756</v>
      </c>
      <c r="G81" s="11">
        <v>1</v>
      </c>
    </row>
    <row r="82" spans="1:7" x14ac:dyDescent="0.25">
      <c r="A82" s="6">
        <v>307237</v>
      </c>
      <c r="B82" s="1">
        <v>44644</v>
      </c>
      <c r="C82" s="11">
        <v>4</v>
      </c>
      <c r="E82" s="6">
        <v>307237</v>
      </c>
      <c r="F82" s="1">
        <v>44644</v>
      </c>
      <c r="G82" s="11">
        <v>4</v>
      </c>
    </row>
    <row r="83" spans="1:7" x14ac:dyDescent="0.25">
      <c r="A83" s="6">
        <v>307239</v>
      </c>
      <c r="B83" s="1">
        <v>44578</v>
      </c>
      <c r="C83" s="11">
        <v>4</v>
      </c>
      <c r="E83" s="6">
        <v>307239</v>
      </c>
      <c r="F83" s="1">
        <v>44578</v>
      </c>
      <c r="G83" s="11">
        <v>4</v>
      </c>
    </row>
    <row r="84" spans="1:7" x14ac:dyDescent="0.25">
      <c r="A84" s="6">
        <v>307241</v>
      </c>
      <c r="B84" s="1">
        <v>44833</v>
      </c>
      <c r="C84" s="11">
        <v>2</v>
      </c>
      <c r="E84" s="6">
        <v>307241</v>
      </c>
      <c r="F84" s="1">
        <v>44833</v>
      </c>
      <c r="G84" s="11">
        <v>2</v>
      </c>
    </row>
    <row r="85" spans="1:7" x14ac:dyDescent="0.25">
      <c r="A85" s="6">
        <v>307245</v>
      </c>
      <c r="B85" s="1">
        <v>44667</v>
      </c>
      <c r="C85" s="11">
        <v>3</v>
      </c>
      <c r="E85" s="6">
        <v>307245</v>
      </c>
      <c r="F85" s="1">
        <v>44667</v>
      </c>
      <c r="G85" s="11">
        <v>3</v>
      </c>
    </row>
    <row r="86" spans="1:7" x14ac:dyDescent="0.25">
      <c r="A86" s="6">
        <v>307249</v>
      </c>
      <c r="B86" s="1">
        <v>44800</v>
      </c>
      <c r="C86" s="11">
        <v>1</v>
      </c>
      <c r="E86" s="6">
        <v>307249</v>
      </c>
      <c r="F86" s="1">
        <v>44800</v>
      </c>
      <c r="G86" s="11">
        <v>1</v>
      </c>
    </row>
    <row r="87" spans="1:7" x14ac:dyDescent="0.25">
      <c r="A87" s="6">
        <v>307252</v>
      </c>
      <c r="B87" s="1">
        <v>44579</v>
      </c>
      <c r="C87" s="11">
        <v>5</v>
      </c>
      <c r="E87" s="6">
        <v>307252</v>
      </c>
      <c r="F87" s="1">
        <v>44579</v>
      </c>
      <c r="G87" s="11">
        <v>5</v>
      </c>
    </row>
    <row r="88" spans="1:7" x14ac:dyDescent="0.25">
      <c r="A88" s="6">
        <v>307255</v>
      </c>
      <c r="B88" s="1">
        <v>44832</v>
      </c>
      <c r="C88" s="11">
        <v>1</v>
      </c>
      <c r="E88" s="6">
        <v>307255</v>
      </c>
      <c r="F88" s="1">
        <v>44832</v>
      </c>
      <c r="G88" s="11">
        <v>1</v>
      </c>
    </row>
    <row r="89" spans="1:7" x14ac:dyDescent="0.25">
      <c r="A89" s="6">
        <v>307257</v>
      </c>
      <c r="B89" s="1">
        <v>44818</v>
      </c>
      <c r="C89" s="11">
        <v>2</v>
      </c>
      <c r="E89" s="6">
        <v>307257</v>
      </c>
      <c r="F89" s="1">
        <v>44818</v>
      </c>
      <c r="G89" s="11">
        <v>2</v>
      </c>
    </row>
    <row r="90" spans="1:7" x14ac:dyDescent="0.25">
      <c r="A90" s="6">
        <v>307260</v>
      </c>
      <c r="B90" s="1">
        <v>44639</v>
      </c>
      <c r="C90" s="11">
        <v>3</v>
      </c>
      <c r="E90" s="6">
        <v>307260</v>
      </c>
      <c r="F90" s="1">
        <v>44639</v>
      </c>
      <c r="G90" s="11">
        <v>3</v>
      </c>
    </row>
    <row r="91" spans="1:7" x14ac:dyDescent="0.25">
      <c r="A91" s="6">
        <v>307261</v>
      </c>
      <c r="B91" s="1">
        <v>44660</v>
      </c>
      <c r="C91" s="11">
        <v>6</v>
      </c>
      <c r="E91" s="6">
        <v>307261</v>
      </c>
      <c r="F91" s="1">
        <v>44660</v>
      </c>
      <c r="G91" s="11">
        <v>6</v>
      </c>
    </row>
    <row r="92" spans="1:7" x14ac:dyDescent="0.25">
      <c r="A92" s="6">
        <v>307266</v>
      </c>
      <c r="B92" s="1">
        <v>44713</v>
      </c>
      <c r="C92" s="11">
        <v>2</v>
      </c>
      <c r="E92" s="6">
        <v>307266</v>
      </c>
      <c r="F92" s="1">
        <v>44713</v>
      </c>
      <c r="G92" s="11">
        <v>2</v>
      </c>
    </row>
    <row r="93" spans="1:7" x14ac:dyDescent="0.25">
      <c r="A93" s="6">
        <v>307267</v>
      </c>
      <c r="B93" s="1">
        <v>44826</v>
      </c>
      <c r="C93" s="11">
        <v>1</v>
      </c>
      <c r="E93" s="6">
        <v>307267</v>
      </c>
      <c r="F93" s="1">
        <v>44826</v>
      </c>
      <c r="G93" s="11">
        <v>1</v>
      </c>
    </row>
    <row r="94" spans="1:7" x14ac:dyDescent="0.25">
      <c r="A94" s="6">
        <v>307271</v>
      </c>
      <c r="B94" s="1">
        <v>44848</v>
      </c>
      <c r="C94" s="11">
        <v>5</v>
      </c>
      <c r="E94" s="6">
        <v>307271</v>
      </c>
      <c r="F94" s="1">
        <v>44848</v>
      </c>
      <c r="G94" s="11">
        <v>5</v>
      </c>
    </row>
    <row r="95" spans="1:7" x14ac:dyDescent="0.25">
      <c r="A95" s="6">
        <v>307276</v>
      </c>
      <c r="B95" s="1">
        <v>44736</v>
      </c>
      <c r="C95" s="11">
        <v>4</v>
      </c>
      <c r="E95" s="6">
        <v>307276</v>
      </c>
      <c r="F95" s="1">
        <v>44736</v>
      </c>
      <c r="G95" s="11">
        <v>4</v>
      </c>
    </row>
    <row r="96" spans="1:7" x14ac:dyDescent="0.25">
      <c r="A96" s="6">
        <v>307281</v>
      </c>
      <c r="B96" s="1">
        <v>44743</v>
      </c>
      <c r="C96" s="11">
        <v>3</v>
      </c>
      <c r="E96" s="6">
        <v>307281</v>
      </c>
      <c r="F96" s="1">
        <v>44743</v>
      </c>
      <c r="G96" s="11">
        <v>3</v>
      </c>
    </row>
    <row r="97" spans="1:7" x14ac:dyDescent="0.25">
      <c r="A97" s="6">
        <v>307284</v>
      </c>
      <c r="B97" s="1">
        <v>44736</v>
      </c>
      <c r="C97" s="11">
        <v>3</v>
      </c>
      <c r="E97" s="6">
        <v>307284</v>
      </c>
      <c r="F97" s="1">
        <v>44736</v>
      </c>
      <c r="G97" s="11">
        <v>3</v>
      </c>
    </row>
    <row r="98" spans="1:7" x14ac:dyDescent="0.25">
      <c r="A98" s="6">
        <v>307288</v>
      </c>
      <c r="B98" s="1">
        <v>44813</v>
      </c>
      <c r="C98" s="11">
        <v>2</v>
      </c>
      <c r="E98" s="6">
        <v>307288</v>
      </c>
      <c r="F98" s="1">
        <v>44813</v>
      </c>
      <c r="G98" s="11">
        <v>2</v>
      </c>
    </row>
    <row r="99" spans="1:7" x14ac:dyDescent="0.25">
      <c r="A99" s="6">
        <v>307289</v>
      </c>
      <c r="B99" s="1">
        <v>44786</v>
      </c>
      <c r="C99" s="11">
        <v>3</v>
      </c>
      <c r="E99" s="6">
        <v>307289</v>
      </c>
      <c r="F99" s="1">
        <v>44786</v>
      </c>
      <c r="G99" s="11">
        <v>3</v>
      </c>
    </row>
    <row r="100" spans="1:7" x14ac:dyDescent="0.25">
      <c r="A100" s="6">
        <v>307291</v>
      </c>
      <c r="B100" s="1">
        <v>44726</v>
      </c>
      <c r="C100" s="11">
        <v>2</v>
      </c>
      <c r="E100" s="6">
        <v>307291</v>
      </c>
      <c r="F100" s="1">
        <v>44726</v>
      </c>
      <c r="G100" s="11">
        <v>2</v>
      </c>
    </row>
    <row r="101" spans="1:7" x14ac:dyDescent="0.25">
      <c r="A101" s="6">
        <v>307295</v>
      </c>
      <c r="B101" s="1">
        <v>44788</v>
      </c>
      <c r="C101" s="11">
        <v>2</v>
      </c>
      <c r="E101" s="6">
        <v>307295</v>
      </c>
      <c r="F101" s="1">
        <v>44788</v>
      </c>
      <c r="G101" s="11">
        <v>2</v>
      </c>
    </row>
    <row r="102" spans="1:7" x14ac:dyDescent="0.25">
      <c r="A102" s="6">
        <v>307297</v>
      </c>
      <c r="B102" s="1">
        <v>44765</v>
      </c>
      <c r="C102" s="11">
        <v>1</v>
      </c>
      <c r="E102" s="6">
        <v>307297</v>
      </c>
      <c r="F102" s="1">
        <v>44765</v>
      </c>
      <c r="G102" s="11">
        <v>1</v>
      </c>
    </row>
    <row r="103" spans="1:7" x14ac:dyDescent="0.25">
      <c r="A103" s="6">
        <v>307299</v>
      </c>
      <c r="B103" s="1">
        <v>44718</v>
      </c>
      <c r="C103" s="11">
        <v>3</v>
      </c>
      <c r="E103" s="6">
        <v>307299</v>
      </c>
      <c r="F103" s="1">
        <v>44718</v>
      </c>
      <c r="G103" s="11">
        <v>3</v>
      </c>
    </row>
    <row r="104" spans="1:7" x14ac:dyDescent="0.25">
      <c r="A104" s="6">
        <v>307304</v>
      </c>
      <c r="B104" s="1">
        <v>44795</v>
      </c>
      <c r="C104" s="11">
        <v>6</v>
      </c>
      <c r="E104" s="6">
        <v>307304</v>
      </c>
      <c r="F104" s="1">
        <v>44795</v>
      </c>
      <c r="G104" s="11">
        <v>6</v>
      </c>
    </row>
    <row r="105" spans="1:7" x14ac:dyDescent="0.25">
      <c r="A105" s="6">
        <v>307305</v>
      </c>
      <c r="B105" s="1">
        <v>44663</v>
      </c>
      <c r="C105" s="11">
        <v>2</v>
      </c>
      <c r="E105" s="6">
        <v>307305</v>
      </c>
      <c r="F105" s="1">
        <v>44663</v>
      </c>
      <c r="G105" s="11">
        <v>2</v>
      </c>
    </row>
    <row r="106" spans="1:7" x14ac:dyDescent="0.25">
      <c r="A106" s="6">
        <v>307307</v>
      </c>
      <c r="B106" s="1">
        <v>44703</v>
      </c>
      <c r="C106" s="11">
        <v>1</v>
      </c>
      <c r="E106" s="6">
        <v>307307</v>
      </c>
      <c r="F106" s="1">
        <v>44703</v>
      </c>
      <c r="G106" s="11">
        <v>1</v>
      </c>
    </row>
    <row r="107" spans="1:7" x14ac:dyDescent="0.25">
      <c r="A107" s="6">
        <v>307308</v>
      </c>
      <c r="B107" s="1">
        <v>44627</v>
      </c>
      <c r="C107" s="11">
        <v>6</v>
      </c>
      <c r="E107" s="6">
        <v>307308</v>
      </c>
      <c r="F107" s="1">
        <v>44627</v>
      </c>
      <c r="G107" s="11">
        <v>6</v>
      </c>
    </row>
    <row r="108" spans="1:7" x14ac:dyDescent="0.25">
      <c r="A108" s="6">
        <v>307309</v>
      </c>
      <c r="B108" s="1">
        <v>44808</v>
      </c>
      <c r="C108" s="11">
        <v>6</v>
      </c>
      <c r="E108" s="6">
        <v>307309</v>
      </c>
      <c r="F108" s="1">
        <v>44808</v>
      </c>
      <c r="G108" s="11">
        <v>6</v>
      </c>
    </row>
    <row r="109" spans="1:7" x14ac:dyDescent="0.25">
      <c r="A109" s="6">
        <v>307313</v>
      </c>
      <c r="B109" s="1">
        <v>44718</v>
      </c>
      <c r="C109" s="11">
        <v>4</v>
      </c>
      <c r="E109" s="6">
        <v>307313</v>
      </c>
      <c r="F109" s="1">
        <v>44718</v>
      </c>
      <c r="G109" s="11">
        <v>4</v>
      </c>
    </row>
    <row r="110" spans="1:7" x14ac:dyDescent="0.25">
      <c r="A110" s="6">
        <v>307316</v>
      </c>
      <c r="B110" s="1">
        <v>44845</v>
      </c>
      <c r="C110" s="11">
        <v>5</v>
      </c>
      <c r="E110" s="6">
        <v>307316</v>
      </c>
      <c r="F110" s="1">
        <v>44845</v>
      </c>
      <c r="G110" s="11">
        <v>5</v>
      </c>
    </row>
    <row r="111" spans="1:7" x14ac:dyDescent="0.25">
      <c r="A111" s="6">
        <v>307320</v>
      </c>
      <c r="B111" s="1">
        <v>44830</v>
      </c>
      <c r="C111" s="11">
        <v>2</v>
      </c>
      <c r="E111" s="6">
        <v>307320</v>
      </c>
      <c r="F111" s="1">
        <v>44830</v>
      </c>
      <c r="G111" s="11">
        <v>2</v>
      </c>
    </row>
    <row r="112" spans="1:7" x14ac:dyDescent="0.25">
      <c r="A112" s="6">
        <v>307323</v>
      </c>
      <c r="B112" s="1">
        <v>44798</v>
      </c>
      <c r="C112" s="11">
        <v>2</v>
      </c>
      <c r="E112" s="6">
        <v>307323</v>
      </c>
      <c r="F112" s="1">
        <v>44798</v>
      </c>
      <c r="G112" s="11">
        <v>2</v>
      </c>
    </row>
    <row r="113" spans="1:7" x14ac:dyDescent="0.25">
      <c r="A113" s="6">
        <v>307328</v>
      </c>
      <c r="B113" s="1">
        <v>44698</v>
      </c>
      <c r="C113" s="11">
        <v>4</v>
      </c>
      <c r="E113" s="6">
        <v>307328</v>
      </c>
      <c r="F113" s="1">
        <v>44698</v>
      </c>
      <c r="G113" s="11">
        <v>4</v>
      </c>
    </row>
    <row r="114" spans="1:7" x14ac:dyDescent="0.25">
      <c r="A114" s="6">
        <v>307331</v>
      </c>
      <c r="B114" s="1">
        <v>44762</v>
      </c>
      <c r="C114" s="11">
        <v>5</v>
      </c>
      <c r="E114" s="6">
        <v>307331</v>
      </c>
      <c r="F114" s="1">
        <v>44762</v>
      </c>
      <c r="G114" s="11">
        <v>5</v>
      </c>
    </row>
    <row r="115" spans="1:7" x14ac:dyDescent="0.25">
      <c r="A115" s="6">
        <v>307336</v>
      </c>
      <c r="B115" s="1">
        <v>44570</v>
      </c>
      <c r="C115" s="11">
        <v>5</v>
      </c>
      <c r="E115" s="6">
        <v>307336</v>
      </c>
      <c r="F115" s="1">
        <v>44570</v>
      </c>
      <c r="G115" s="11">
        <v>5</v>
      </c>
    </row>
    <row r="116" spans="1:7" x14ac:dyDescent="0.25">
      <c r="A116" s="6">
        <v>307341</v>
      </c>
      <c r="B116" s="1">
        <v>44743</v>
      </c>
      <c r="C116" s="11">
        <v>1</v>
      </c>
      <c r="E116" s="6">
        <v>307341</v>
      </c>
      <c r="F116" s="1">
        <v>44743</v>
      </c>
      <c r="G116" s="11">
        <v>1</v>
      </c>
    </row>
    <row r="117" spans="1:7" x14ac:dyDescent="0.25">
      <c r="A117" s="6">
        <v>307346</v>
      </c>
      <c r="B117" s="1">
        <v>44798</v>
      </c>
      <c r="C117" s="11">
        <v>1</v>
      </c>
      <c r="E117" s="6">
        <v>307346</v>
      </c>
      <c r="F117" s="1">
        <v>44798</v>
      </c>
      <c r="G117" s="11">
        <v>1</v>
      </c>
    </row>
    <row r="118" spans="1:7" x14ac:dyDescent="0.25">
      <c r="A118" s="6">
        <v>307349</v>
      </c>
      <c r="B118" s="1">
        <v>44846</v>
      </c>
      <c r="C118" s="11">
        <v>1</v>
      </c>
      <c r="E118" s="6">
        <v>307349</v>
      </c>
      <c r="F118" s="1">
        <v>44846</v>
      </c>
      <c r="G118" s="11">
        <v>1</v>
      </c>
    </row>
    <row r="119" spans="1:7" x14ac:dyDescent="0.25">
      <c r="A119" s="6">
        <v>307351</v>
      </c>
      <c r="B119" s="1">
        <v>44784</v>
      </c>
      <c r="C119" s="11">
        <v>1</v>
      </c>
      <c r="E119" s="6">
        <v>307351</v>
      </c>
      <c r="F119" s="1">
        <v>44784</v>
      </c>
      <c r="G119" s="11">
        <v>1</v>
      </c>
    </row>
    <row r="120" spans="1:7" x14ac:dyDescent="0.25">
      <c r="A120" s="6">
        <v>307356</v>
      </c>
      <c r="B120" s="1">
        <v>44632</v>
      </c>
      <c r="C120" s="11">
        <v>4</v>
      </c>
      <c r="E120" s="6">
        <v>307356</v>
      </c>
      <c r="F120" s="1">
        <v>44632</v>
      </c>
      <c r="G120" s="11">
        <v>4</v>
      </c>
    </row>
    <row r="121" spans="1:7" x14ac:dyDescent="0.25">
      <c r="A121" s="6">
        <v>307357</v>
      </c>
      <c r="B121" s="1">
        <v>44617</v>
      </c>
      <c r="C121" s="11">
        <v>5</v>
      </c>
      <c r="E121" s="6">
        <v>307357</v>
      </c>
      <c r="F121" s="1">
        <v>44617</v>
      </c>
      <c r="G121" s="11">
        <v>5</v>
      </c>
    </row>
    <row r="122" spans="1:7" x14ac:dyDescent="0.25">
      <c r="A122" s="6">
        <v>307358</v>
      </c>
      <c r="B122" s="1">
        <v>44770</v>
      </c>
      <c r="C122" s="11">
        <v>1</v>
      </c>
      <c r="E122" s="6">
        <v>307358</v>
      </c>
      <c r="F122" s="1">
        <v>44770</v>
      </c>
      <c r="G122" s="11">
        <v>1</v>
      </c>
    </row>
    <row r="123" spans="1:7" x14ac:dyDescent="0.25">
      <c r="A123" s="6">
        <v>307363</v>
      </c>
      <c r="B123" s="1">
        <v>44742</v>
      </c>
      <c r="C123" s="11">
        <v>4</v>
      </c>
      <c r="E123" s="6">
        <v>307363</v>
      </c>
      <c r="F123" s="1">
        <v>44742</v>
      </c>
      <c r="G123" s="11">
        <v>4</v>
      </c>
    </row>
    <row r="124" spans="1:7" x14ac:dyDescent="0.25">
      <c r="A124" s="6">
        <v>307365</v>
      </c>
      <c r="B124" s="1">
        <v>44744</v>
      </c>
      <c r="C124" s="11">
        <v>5</v>
      </c>
      <c r="E124" s="6">
        <v>307365</v>
      </c>
      <c r="F124" s="1">
        <v>44744</v>
      </c>
      <c r="G124" s="11">
        <v>5</v>
      </c>
    </row>
    <row r="125" spans="1:7" x14ac:dyDescent="0.25">
      <c r="A125" s="6">
        <v>307370</v>
      </c>
      <c r="B125" s="1">
        <v>44653</v>
      </c>
      <c r="C125" s="11">
        <v>2</v>
      </c>
      <c r="E125" s="6">
        <v>307370</v>
      </c>
      <c r="F125" s="1">
        <v>44653</v>
      </c>
      <c r="G125" s="11">
        <v>2</v>
      </c>
    </row>
    <row r="126" spans="1:7" x14ac:dyDescent="0.25">
      <c r="A126" s="6">
        <v>307375</v>
      </c>
      <c r="B126" s="1">
        <v>44635</v>
      </c>
      <c r="C126" s="11">
        <v>1</v>
      </c>
      <c r="E126" s="6">
        <v>307375</v>
      </c>
      <c r="F126" s="1">
        <v>44635</v>
      </c>
      <c r="G126" s="11">
        <v>1</v>
      </c>
    </row>
    <row r="127" spans="1:7" x14ac:dyDescent="0.25">
      <c r="A127" s="6">
        <v>307377</v>
      </c>
      <c r="B127" s="1">
        <v>44638</v>
      </c>
      <c r="C127" s="11">
        <v>1</v>
      </c>
      <c r="E127" s="6">
        <v>307377</v>
      </c>
      <c r="F127" s="1">
        <v>44638</v>
      </c>
      <c r="G127" s="11">
        <v>1</v>
      </c>
    </row>
    <row r="128" spans="1:7" x14ac:dyDescent="0.25">
      <c r="A128" s="6">
        <v>307378</v>
      </c>
      <c r="B128" s="1">
        <v>44635</v>
      </c>
      <c r="C128" s="11">
        <v>4</v>
      </c>
      <c r="E128" s="6">
        <v>307378</v>
      </c>
      <c r="F128" s="1">
        <v>44635</v>
      </c>
      <c r="G128" s="11">
        <v>4</v>
      </c>
    </row>
    <row r="129" spans="1:7" x14ac:dyDescent="0.25">
      <c r="A129" s="6">
        <v>307379</v>
      </c>
      <c r="B129" s="1">
        <v>44724</v>
      </c>
      <c r="C129" s="11">
        <v>1</v>
      </c>
      <c r="E129" s="6">
        <v>307379</v>
      </c>
      <c r="F129" s="1">
        <v>44724</v>
      </c>
      <c r="G129" s="11">
        <v>1</v>
      </c>
    </row>
    <row r="130" spans="1:7" x14ac:dyDescent="0.25">
      <c r="A130" s="6">
        <v>307381</v>
      </c>
      <c r="B130" s="1">
        <v>44612</v>
      </c>
      <c r="C130" s="11">
        <v>4</v>
      </c>
      <c r="E130" s="6">
        <v>307381</v>
      </c>
      <c r="F130" s="1">
        <v>44612</v>
      </c>
      <c r="G130" s="11">
        <v>4</v>
      </c>
    </row>
    <row r="131" spans="1:7" x14ac:dyDescent="0.25">
      <c r="A131" s="6">
        <v>307385</v>
      </c>
      <c r="B131" s="1">
        <v>44864</v>
      </c>
      <c r="C131" s="11">
        <v>4</v>
      </c>
      <c r="E131" s="6">
        <v>307385</v>
      </c>
      <c r="F131" s="1">
        <v>44864</v>
      </c>
      <c r="G131" s="11">
        <v>4</v>
      </c>
    </row>
    <row r="132" spans="1:7" x14ac:dyDescent="0.25">
      <c r="A132" s="6">
        <v>307390</v>
      </c>
      <c r="B132" s="1">
        <v>44857</v>
      </c>
      <c r="C132" s="11">
        <v>3</v>
      </c>
      <c r="E132" s="6">
        <v>307390</v>
      </c>
      <c r="F132" s="1">
        <v>44857</v>
      </c>
      <c r="G132" s="11">
        <v>3</v>
      </c>
    </row>
    <row r="133" spans="1:7" x14ac:dyDescent="0.25">
      <c r="A133" s="6">
        <v>307395</v>
      </c>
      <c r="B133" s="1">
        <v>44634</v>
      </c>
      <c r="C133" s="11">
        <v>1</v>
      </c>
      <c r="E133" s="6">
        <v>307395</v>
      </c>
      <c r="F133" s="1">
        <v>44634</v>
      </c>
      <c r="G133" s="11">
        <v>1</v>
      </c>
    </row>
    <row r="134" spans="1:7" x14ac:dyDescent="0.25">
      <c r="A134" s="6">
        <v>307396</v>
      </c>
      <c r="B134" s="1">
        <v>44646</v>
      </c>
      <c r="C134" s="11">
        <v>1</v>
      </c>
      <c r="E134" s="6">
        <v>307396</v>
      </c>
      <c r="F134" s="1">
        <v>44646</v>
      </c>
      <c r="G134" s="11">
        <v>1</v>
      </c>
    </row>
    <row r="135" spans="1:7" x14ac:dyDescent="0.25">
      <c r="A135" s="6">
        <v>307400</v>
      </c>
      <c r="B135" s="1">
        <v>44781</v>
      </c>
      <c r="C135" s="11">
        <v>1</v>
      </c>
      <c r="E135" s="6">
        <v>307400</v>
      </c>
      <c r="F135" s="1">
        <v>44781</v>
      </c>
      <c r="G135" s="11">
        <v>1</v>
      </c>
    </row>
    <row r="136" spans="1:7" x14ac:dyDescent="0.25">
      <c r="A136" s="6">
        <v>307403</v>
      </c>
      <c r="B136" s="1">
        <v>44684</v>
      </c>
      <c r="C136" s="11">
        <v>3</v>
      </c>
      <c r="E136" s="6">
        <v>307403</v>
      </c>
      <c r="F136" s="1">
        <v>44684</v>
      </c>
      <c r="G136" s="11">
        <v>3</v>
      </c>
    </row>
    <row r="137" spans="1:7" x14ac:dyDescent="0.25">
      <c r="A137" s="6">
        <v>307406</v>
      </c>
      <c r="B137" s="1">
        <v>44678</v>
      </c>
      <c r="C137" s="11">
        <v>1</v>
      </c>
      <c r="E137" s="6">
        <v>307406</v>
      </c>
      <c r="F137" s="1">
        <v>44678</v>
      </c>
      <c r="G137" s="11">
        <v>1</v>
      </c>
    </row>
    <row r="138" spans="1:7" x14ac:dyDescent="0.25">
      <c r="A138" s="6">
        <v>307407</v>
      </c>
      <c r="B138" s="1">
        <v>44657</v>
      </c>
      <c r="C138" s="11">
        <v>3</v>
      </c>
      <c r="E138" s="6">
        <v>307407</v>
      </c>
      <c r="F138" s="1">
        <v>44657</v>
      </c>
      <c r="G138" s="11">
        <v>3</v>
      </c>
    </row>
    <row r="139" spans="1:7" x14ac:dyDescent="0.25">
      <c r="A139" s="6">
        <v>307412</v>
      </c>
      <c r="B139" s="1">
        <v>44841</v>
      </c>
      <c r="C139" s="11">
        <v>4</v>
      </c>
      <c r="E139" s="6">
        <v>307412</v>
      </c>
      <c r="F139" s="1">
        <v>44841</v>
      </c>
      <c r="G139" s="11">
        <v>4</v>
      </c>
    </row>
    <row r="140" spans="1:7" x14ac:dyDescent="0.25">
      <c r="A140" s="6">
        <v>307417</v>
      </c>
      <c r="B140" s="1">
        <v>44616</v>
      </c>
      <c r="C140" s="11">
        <v>2</v>
      </c>
      <c r="E140" s="6">
        <v>307417</v>
      </c>
      <c r="F140" s="1">
        <v>44616</v>
      </c>
      <c r="G140" s="11">
        <v>2</v>
      </c>
    </row>
    <row r="141" spans="1:7" x14ac:dyDescent="0.25">
      <c r="A141" s="6">
        <v>307418</v>
      </c>
      <c r="B141" s="1">
        <v>44689</v>
      </c>
      <c r="C141" s="11">
        <v>2</v>
      </c>
      <c r="E141" s="6">
        <v>307418</v>
      </c>
      <c r="F141" s="1">
        <v>44689</v>
      </c>
      <c r="G141" s="11">
        <v>2</v>
      </c>
    </row>
    <row r="142" spans="1:7" x14ac:dyDescent="0.25">
      <c r="A142" s="6">
        <v>307421</v>
      </c>
      <c r="B142" s="1">
        <v>44688</v>
      </c>
      <c r="C142" s="11">
        <v>5</v>
      </c>
      <c r="E142" s="6">
        <v>307421</v>
      </c>
      <c r="F142" s="1">
        <v>44688</v>
      </c>
      <c r="G142" s="11">
        <v>5</v>
      </c>
    </row>
    <row r="143" spans="1:7" x14ac:dyDescent="0.25">
      <c r="A143" s="6">
        <v>307425</v>
      </c>
      <c r="B143" s="1">
        <v>44777</v>
      </c>
      <c r="C143" s="11">
        <v>1</v>
      </c>
      <c r="E143" s="6">
        <v>307425</v>
      </c>
      <c r="F143" s="1">
        <v>44777</v>
      </c>
      <c r="G143" s="11">
        <v>1</v>
      </c>
    </row>
    <row r="144" spans="1:7" x14ac:dyDescent="0.25">
      <c r="A144" s="6">
        <v>307428</v>
      </c>
      <c r="B144" s="1">
        <v>44766</v>
      </c>
      <c r="C144" s="11">
        <v>1</v>
      </c>
      <c r="E144" s="6">
        <v>307428</v>
      </c>
      <c r="F144" s="1">
        <v>44766</v>
      </c>
      <c r="G144" s="11">
        <v>1</v>
      </c>
    </row>
    <row r="145" spans="1:7" x14ac:dyDescent="0.25">
      <c r="A145" s="6">
        <v>307429</v>
      </c>
      <c r="B145" s="1">
        <v>44604</v>
      </c>
      <c r="C145" s="11">
        <v>1</v>
      </c>
      <c r="E145" s="6">
        <v>307429</v>
      </c>
      <c r="F145" s="1">
        <v>44604</v>
      </c>
      <c r="G145" s="11">
        <v>1</v>
      </c>
    </row>
    <row r="146" spans="1:7" x14ac:dyDescent="0.25">
      <c r="A146" s="6">
        <v>307431</v>
      </c>
      <c r="B146" s="1">
        <v>44785</v>
      </c>
      <c r="C146" s="11">
        <v>1</v>
      </c>
      <c r="E146" s="6">
        <v>307431</v>
      </c>
      <c r="F146" s="1">
        <v>44785</v>
      </c>
      <c r="G146" s="11">
        <v>1</v>
      </c>
    </row>
    <row r="147" spans="1:7" x14ac:dyDescent="0.25">
      <c r="A147" s="6">
        <v>307432</v>
      </c>
      <c r="B147" s="1">
        <v>44636</v>
      </c>
      <c r="C147" s="11">
        <v>1</v>
      </c>
      <c r="E147" s="6">
        <v>307432</v>
      </c>
      <c r="F147" s="1">
        <v>44636</v>
      </c>
      <c r="G147" s="11">
        <v>1</v>
      </c>
    </row>
    <row r="148" spans="1:7" x14ac:dyDescent="0.25">
      <c r="A148" s="6">
        <v>307435</v>
      </c>
      <c r="B148" s="1">
        <v>44855</v>
      </c>
      <c r="C148" s="11">
        <v>1</v>
      </c>
      <c r="E148" s="6">
        <v>307435</v>
      </c>
      <c r="F148" s="1">
        <v>44855</v>
      </c>
      <c r="G148" s="11">
        <v>1</v>
      </c>
    </row>
    <row r="149" spans="1:7" x14ac:dyDescent="0.25">
      <c r="A149" s="6">
        <v>307440</v>
      </c>
      <c r="B149" s="1">
        <v>44714</v>
      </c>
      <c r="C149" s="11">
        <v>2</v>
      </c>
      <c r="E149" s="6">
        <v>307440</v>
      </c>
      <c r="F149" s="1">
        <v>44714</v>
      </c>
      <c r="G149" s="11">
        <v>2</v>
      </c>
    </row>
    <row r="150" spans="1:7" x14ac:dyDescent="0.25">
      <c r="A150" s="6">
        <v>307444</v>
      </c>
      <c r="B150" s="1">
        <v>44623</v>
      </c>
      <c r="C150" s="11">
        <v>4</v>
      </c>
      <c r="E150" s="6">
        <v>307444</v>
      </c>
      <c r="F150" s="1">
        <v>44623</v>
      </c>
      <c r="G150" s="11">
        <v>4</v>
      </c>
    </row>
    <row r="151" spans="1:7" x14ac:dyDescent="0.25">
      <c r="A151" s="6">
        <v>307449</v>
      </c>
      <c r="B151" s="1">
        <v>44596</v>
      </c>
      <c r="C151" s="11">
        <v>3</v>
      </c>
      <c r="E151" s="6">
        <v>307449</v>
      </c>
      <c r="F151" s="1">
        <v>44596</v>
      </c>
      <c r="G151" s="11">
        <v>3</v>
      </c>
    </row>
    <row r="152" spans="1:7" x14ac:dyDescent="0.25">
      <c r="A152" s="6">
        <v>307451</v>
      </c>
      <c r="B152" s="1">
        <v>44805</v>
      </c>
      <c r="C152" s="11">
        <v>1</v>
      </c>
      <c r="E152" s="6">
        <v>307451</v>
      </c>
      <c r="F152" s="1">
        <v>44805</v>
      </c>
      <c r="G152" s="11">
        <v>1</v>
      </c>
    </row>
    <row r="153" spans="1:7" x14ac:dyDescent="0.25">
      <c r="A153" s="6">
        <v>307453</v>
      </c>
      <c r="B153" s="1">
        <v>44575</v>
      </c>
      <c r="C153" s="11">
        <v>1</v>
      </c>
      <c r="E153" s="6">
        <v>307453</v>
      </c>
      <c r="F153" s="1">
        <v>44575</v>
      </c>
      <c r="G153" s="11">
        <v>1</v>
      </c>
    </row>
    <row r="154" spans="1:7" x14ac:dyDescent="0.25">
      <c r="A154" s="6">
        <v>307458</v>
      </c>
      <c r="B154" s="1">
        <v>44841</v>
      </c>
      <c r="C154" s="11">
        <v>1</v>
      </c>
      <c r="E154" s="6">
        <v>307458</v>
      </c>
      <c r="F154" s="1">
        <v>44841</v>
      </c>
      <c r="G154" s="11">
        <v>1</v>
      </c>
    </row>
    <row r="155" spans="1:7" x14ac:dyDescent="0.25">
      <c r="A155" s="6">
        <v>307459</v>
      </c>
      <c r="B155" s="1">
        <v>44694</v>
      </c>
      <c r="C155" s="11">
        <v>3</v>
      </c>
      <c r="E155" s="6">
        <v>307459</v>
      </c>
      <c r="F155" s="1">
        <v>44694</v>
      </c>
      <c r="G155" s="11">
        <v>3</v>
      </c>
    </row>
    <row r="156" spans="1:7" x14ac:dyDescent="0.25">
      <c r="A156" s="6">
        <v>307463</v>
      </c>
      <c r="B156" s="1">
        <v>44648</v>
      </c>
      <c r="C156" s="11">
        <v>4</v>
      </c>
      <c r="E156" s="6">
        <v>307463</v>
      </c>
      <c r="F156" s="1">
        <v>44648</v>
      </c>
      <c r="G156" s="11">
        <v>4</v>
      </c>
    </row>
    <row r="157" spans="1:7" x14ac:dyDescent="0.25">
      <c r="A157" s="6">
        <v>307467</v>
      </c>
      <c r="B157" s="1">
        <v>44595</v>
      </c>
      <c r="C157" s="11">
        <v>3</v>
      </c>
      <c r="E157" s="6">
        <v>307467</v>
      </c>
      <c r="F157" s="1">
        <v>44595</v>
      </c>
      <c r="G157" s="11">
        <v>3</v>
      </c>
    </row>
    <row r="158" spans="1:7" x14ac:dyDescent="0.25">
      <c r="A158" s="6">
        <v>307472</v>
      </c>
      <c r="B158" s="1">
        <v>44759</v>
      </c>
      <c r="C158" s="11">
        <v>3</v>
      </c>
      <c r="E158" s="6">
        <v>307472</v>
      </c>
      <c r="F158" s="1">
        <v>44759</v>
      </c>
      <c r="G158" s="11">
        <v>3</v>
      </c>
    </row>
    <row r="159" spans="1:7" x14ac:dyDescent="0.25">
      <c r="A159" s="6">
        <v>307476</v>
      </c>
      <c r="B159" s="1">
        <v>44739</v>
      </c>
      <c r="C159" s="11">
        <v>5</v>
      </c>
      <c r="E159" s="6">
        <v>307476</v>
      </c>
      <c r="F159" s="1">
        <v>44739</v>
      </c>
      <c r="G159" s="11">
        <v>5</v>
      </c>
    </row>
    <row r="160" spans="1:7" x14ac:dyDescent="0.25">
      <c r="A160" s="6">
        <v>307479</v>
      </c>
      <c r="B160" s="1">
        <v>44744</v>
      </c>
      <c r="C160" s="11">
        <v>4</v>
      </c>
      <c r="E160" s="6">
        <v>307479</v>
      </c>
      <c r="F160" s="1">
        <v>44744</v>
      </c>
      <c r="G160" s="11">
        <v>4</v>
      </c>
    </row>
    <row r="161" spans="1:7" x14ac:dyDescent="0.25">
      <c r="A161" s="6">
        <v>307482</v>
      </c>
      <c r="B161" s="1">
        <v>44851</v>
      </c>
      <c r="C161" s="11">
        <v>4</v>
      </c>
      <c r="E161" s="6">
        <v>307482</v>
      </c>
      <c r="F161" s="1">
        <v>44851</v>
      </c>
      <c r="G161" s="11">
        <v>4</v>
      </c>
    </row>
    <row r="162" spans="1:7" x14ac:dyDescent="0.25">
      <c r="A162" s="6">
        <v>307483</v>
      </c>
      <c r="B162" s="1">
        <v>44751</v>
      </c>
      <c r="C162" s="11">
        <v>3</v>
      </c>
      <c r="E162" s="6">
        <v>307483</v>
      </c>
      <c r="F162" s="1">
        <v>44751</v>
      </c>
      <c r="G162" s="11">
        <v>3</v>
      </c>
    </row>
    <row r="163" spans="1:7" x14ac:dyDescent="0.25">
      <c r="A163" s="6">
        <v>307486</v>
      </c>
      <c r="B163" s="1">
        <v>44843</v>
      </c>
      <c r="C163" s="11">
        <v>5</v>
      </c>
      <c r="E163" s="6">
        <v>307486</v>
      </c>
      <c r="F163" s="1">
        <v>44843</v>
      </c>
      <c r="G163" s="11">
        <v>5</v>
      </c>
    </row>
    <row r="164" spans="1:7" x14ac:dyDescent="0.25">
      <c r="A164" s="6">
        <v>307491</v>
      </c>
      <c r="B164" s="1">
        <v>44721</v>
      </c>
      <c r="C164" s="11">
        <v>5</v>
      </c>
      <c r="E164" s="6">
        <v>307491</v>
      </c>
      <c r="F164" s="1">
        <v>44721</v>
      </c>
      <c r="G164" s="11">
        <v>5</v>
      </c>
    </row>
    <row r="165" spans="1:7" x14ac:dyDescent="0.25">
      <c r="A165" s="6">
        <v>307495</v>
      </c>
      <c r="B165" s="1">
        <v>44659</v>
      </c>
      <c r="C165" s="11">
        <v>1</v>
      </c>
      <c r="E165" s="6">
        <v>307495</v>
      </c>
      <c r="F165" s="1">
        <v>44659</v>
      </c>
      <c r="G165" s="11">
        <v>1</v>
      </c>
    </row>
    <row r="166" spans="1:7" x14ac:dyDescent="0.25">
      <c r="A166" s="6">
        <v>307498</v>
      </c>
      <c r="B166" s="1">
        <v>44587</v>
      </c>
      <c r="C166" s="11">
        <v>2</v>
      </c>
      <c r="E166" s="6">
        <v>307498</v>
      </c>
      <c r="F166" s="1">
        <v>44587</v>
      </c>
      <c r="G166" s="11">
        <v>2</v>
      </c>
    </row>
    <row r="167" spans="1:7" x14ac:dyDescent="0.25">
      <c r="A167" s="6">
        <v>307500</v>
      </c>
      <c r="B167" s="1">
        <v>44679</v>
      </c>
      <c r="C167" s="11">
        <v>1</v>
      </c>
      <c r="E167" s="6">
        <v>307500</v>
      </c>
      <c r="F167" s="1">
        <v>44679</v>
      </c>
      <c r="G167" s="11">
        <v>1</v>
      </c>
    </row>
    <row r="168" spans="1:7" x14ac:dyDescent="0.25">
      <c r="A168" s="6">
        <v>307505</v>
      </c>
      <c r="B168" s="1">
        <v>44585</v>
      </c>
      <c r="C168" s="11">
        <v>3</v>
      </c>
      <c r="E168" s="6">
        <v>307505</v>
      </c>
      <c r="F168" s="1">
        <v>44585</v>
      </c>
      <c r="G168" s="11">
        <v>3</v>
      </c>
    </row>
    <row r="169" spans="1:7" x14ac:dyDescent="0.25">
      <c r="A169" s="6">
        <v>307509</v>
      </c>
      <c r="B169" s="1">
        <v>44663</v>
      </c>
      <c r="C169" s="11">
        <v>1</v>
      </c>
      <c r="E169" s="6">
        <v>307509</v>
      </c>
      <c r="F169" s="1">
        <v>44663</v>
      </c>
      <c r="G169" s="11">
        <v>1</v>
      </c>
    </row>
    <row r="170" spans="1:7" x14ac:dyDescent="0.25">
      <c r="A170" s="6">
        <v>307513</v>
      </c>
      <c r="B170" s="1">
        <v>44834</v>
      </c>
      <c r="C170" s="11">
        <v>5</v>
      </c>
      <c r="E170" s="6">
        <v>307513</v>
      </c>
      <c r="F170" s="1">
        <v>44834</v>
      </c>
      <c r="G170" s="11">
        <v>5</v>
      </c>
    </row>
    <row r="171" spans="1:7" x14ac:dyDescent="0.25">
      <c r="A171" s="6">
        <v>307517</v>
      </c>
      <c r="B171" s="1">
        <v>44787</v>
      </c>
      <c r="C171" s="11">
        <v>4</v>
      </c>
      <c r="E171" s="6">
        <v>307517</v>
      </c>
      <c r="F171" s="1">
        <v>44787</v>
      </c>
      <c r="G171" s="11">
        <v>4</v>
      </c>
    </row>
    <row r="172" spans="1:7" x14ac:dyDescent="0.25">
      <c r="A172" s="6">
        <v>307518</v>
      </c>
      <c r="B172" s="1">
        <v>44776</v>
      </c>
      <c r="C172" s="11">
        <v>1</v>
      </c>
      <c r="E172" s="6">
        <v>307518</v>
      </c>
      <c r="F172" s="1">
        <v>44776</v>
      </c>
      <c r="G172" s="11">
        <v>1</v>
      </c>
    </row>
    <row r="173" spans="1:7" x14ac:dyDescent="0.25">
      <c r="A173" s="6">
        <v>307523</v>
      </c>
      <c r="B173" s="1">
        <v>44769</v>
      </c>
      <c r="C173" s="11">
        <v>3</v>
      </c>
      <c r="E173" s="6">
        <v>307523</v>
      </c>
      <c r="F173" s="1">
        <v>44769</v>
      </c>
      <c r="G173" s="11">
        <v>3</v>
      </c>
    </row>
    <row r="174" spans="1:7" x14ac:dyDescent="0.25">
      <c r="A174" s="6">
        <v>307525</v>
      </c>
      <c r="B174" s="1">
        <v>44839</v>
      </c>
      <c r="C174" s="11">
        <v>4</v>
      </c>
      <c r="E174" s="6">
        <v>307525</v>
      </c>
      <c r="F174" s="1">
        <v>44839</v>
      </c>
      <c r="G174" s="11">
        <v>4</v>
      </c>
    </row>
    <row r="175" spans="1:7" x14ac:dyDescent="0.25">
      <c r="A175" s="6">
        <v>307526</v>
      </c>
      <c r="B175" s="1">
        <v>44785</v>
      </c>
      <c r="C175" s="11">
        <v>3</v>
      </c>
      <c r="E175" s="6">
        <v>307526</v>
      </c>
      <c r="F175" s="1">
        <v>44785</v>
      </c>
      <c r="G175" s="11">
        <v>3</v>
      </c>
    </row>
    <row r="176" spans="1:7" x14ac:dyDescent="0.25">
      <c r="A176" s="6">
        <v>307527</v>
      </c>
      <c r="B176" s="1">
        <v>44673</v>
      </c>
      <c r="C176" s="11">
        <v>2</v>
      </c>
      <c r="E176" s="6">
        <v>307527</v>
      </c>
      <c r="F176" s="1">
        <v>44673</v>
      </c>
      <c r="G176" s="11">
        <v>2</v>
      </c>
    </row>
    <row r="177" spans="1:7" x14ac:dyDescent="0.25">
      <c r="A177" s="6">
        <v>307529</v>
      </c>
      <c r="B177" s="1">
        <v>44828</v>
      </c>
      <c r="C177" s="11">
        <v>3</v>
      </c>
      <c r="E177" s="6">
        <v>307529</v>
      </c>
      <c r="F177" s="1">
        <v>44828</v>
      </c>
      <c r="G177" s="11">
        <v>3</v>
      </c>
    </row>
    <row r="178" spans="1:7" x14ac:dyDescent="0.25">
      <c r="A178" s="6">
        <v>307531</v>
      </c>
      <c r="B178" s="1">
        <v>44789</v>
      </c>
      <c r="C178" s="11">
        <v>6</v>
      </c>
      <c r="E178" s="6">
        <v>307531</v>
      </c>
      <c r="F178" s="1">
        <v>44789</v>
      </c>
      <c r="G178" s="11">
        <v>6</v>
      </c>
    </row>
    <row r="179" spans="1:7" x14ac:dyDescent="0.25">
      <c r="A179" s="6">
        <v>307532</v>
      </c>
      <c r="B179" s="1">
        <v>44637</v>
      </c>
      <c r="C179" s="11">
        <v>5</v>
      </c>
      <c r="E179" s="6">
        <v>307532</v>
      </c>
      <c r="F179" s="1">
        <v>44637</v>
      </c>
      <c r="G179" s="11">
        <v>5</v>
      </c>
    </row>
    <row r="180" spans="1:7" x14ac:dyDescent="0.25">
      <c r="A180" s="6">
        <v>307534</v>
      </c>
      <c r="B180" s="1">
        <v>44821</v>
      </c>
      <c r="C180" s="11">
        <v>2</v>
      </c>
      <c r="E180" s="6">
        <v>307534</v>
      </c>
      <c r="F180" s="1">
        <v>44821</v>
      </c>
      <c r="G180" s="11">
        <v>2</v>
      </c>
    </row>
    <row r="181" spans="1:7" x14ac:dyDescent="0.25">
      <c r="A181" s="6">
        <v>307537</v>
      </c>
      <c r="B181" s="1">
        <v>44667</v>
      </c>
      <c r="C181" s="11">
        <v>3</v>
      </c>
      <c r="E181" s="6">
        <v>307537</v>
      </c>
      <c r="F181" s="1">
        <v>44667</v>
      </c>
      <c r="G181" s="11">
        <v>3</v>
      </c>
    </row>
    <row r="182" spans="1:7" x14ac:dyDescent="0.25">
      <c r="A182" s="6">
        <v>307540</v>
      </c>
      <c r="B182" s="1">
        <v>44806</v>
      </c>
      <c r="C182" s="11">
        <v>3</v>
      </c>
      <c r="E182" s="6">
        <v>307540</v>
      </c>
      <c r="F182" s="1">
        <v>44806</v>
      </c>
      <c r="G182" s="11">
        <v>3</v>
      </c>
    </row>
    <row r="183" spans="1:7" x14ac:dyDescent="0.25">
      <c r="A183" s="6">
        <v>307545</v>
      </c>
      <c r="B183" s="1">
        <v>44795</v>
      </c>
      <c r="C183" s="11">
        <v>7</v>
      </c>
      <c r="E183" s="6">
        <v>307545</v>
      </c>
      <c r="F183" s="1">
        <v>44795</v>
      </c>
      <c r="G183" s="11">
        <v>7</v>
      </c>
    </row>
    <row r="184" spans="1:7" x14ac:dyDescent="0.25">
      <c r="A184" s="6">
        <v>307550</v>
      </c>
      <c r="B184" s="1">
        <v>44586</v>
      </c>
      <c r="C184" s="11">
        <v>2</v>
      </c>
      <c r="E184" s="6">
        <v>307550</v>
      </c>
      <c r="F184" s="1">
        <v>44586</v>
      </c>
      <c r="G184" s="11">
        <v>2</v>
      </c>
    </row>
    <row r="185" spans="1:7" x14ac:dyDescent="0.25">
      <c r="A185" s="6">
        <v>307555</v>
      </c>
      <c r="B185" s="1">
        <v>44591</v>
      </c>
      <c r="C185" s="11">
        <v>2</v>
      </c>
      <c r="E185" s="6">
        <v>307555</v>
      </c>
      <c r="F185" s="1">
        <v>44591</v>
      </c>
      <c r="G185" s="11">
        <v>2</v>
      </c>
    </row>
    <row r="186" spans="1:7" x14ac:dyDescent="0.25">
      <c r="A186" s="6">
        <v>307556</v>
      </c>
      <c r="B186" s="1">
        <v>44699</v>
      </c>
      <c r="C186" s="11">
        <v>1</v>
      </c>
      <c r="E186" s="6">
        <v>307556</v>
      </c>
      <c r="F186" s="1">
        <v>44699</v>
      </c>
      <c r="G186" s="11">
        <v>1</v>
      </c>
    </row>
    <row r="187" spans="1:7" x14ac:dyDescent="0.25">
      <c r="A187" s="6">
        <v>307561</v>
      </c>
      <c r="B187" s="1">
        <v>44617</v>
      </c>
      <c r="C187" s="11">
        <v>4</v>
      </c>
      <c r="E187" s="6">
        <v>307561</v>
      </c>
      <c r="F187" s="1">
        <v>44617</v>
      </c>
      <c r="G187" s="11">
        <v>4</v>
      </c>
    </row>
    <row r="188" spans="1:7" x14ac:dyDescent="0.25">
      <c r="A188" s="6">
        <v>307562</v>
      </c>
      <c r="B188" s="1">
        <v>44786</v>
      </c>
      <c r="C188" s="11">
        <v>6</v>
      </c>
      <c r="E188" s="6">
        <v>307562</v>
      </c>
      <c r="F188" s="1">
        <v>44786</v>
      </c>
      <c r="G188" s="11">
        <v>6</v>
      </c>
    </row>
    <row r="189" spans="1:7" x14ac:dyDescent="0.25">
      <c r="A189" s="6">
        <v>307563</v>
      </c>
      <c r="B189" s="1">
        <v>44578</v>
      </c>
      <c r="C189" s="11">
        <v>3</v>
      </c>
      <c r="E189" s="6">
        <v>307563</v>
      </c>
      <c r="F189" s="1">
        <v>44578</v>
      </c>
      <c r="G189" s="11">
        <v>3</v>
      </c>
    </row>
    <row r="190" spans="1:7" x14ac:dyDescent="0.25">
      <c r="A190" s="6">
        <v>307568</v>
      </c>
      <c r="B190" s="1">
        <v>44802</v>
      </c>
      <c r="C190" s="11">
        <v>2</v>
      </c>
      <c r="E190" s="6">
        <v>307568</v>
      </c>
      <c r="F190" s="1">
        <v>44802</v>
      </c>
      <c r="G190" s="11">
        <v>2</v>
      </c>
    </row>
    <row r="191" spans="1:7" x14ac:dyDescent="0.25">
      <c r="A191" s="6">
        <v>307573</v>
      </c>
      <c r="B191" s="1">
        <v>44588</v>
      </c>
      <c r="C191" s="11">
        <v>1</v>
      </c>
      <c r="E191" s="6">
        <v>307573</v>
      </c>
      <c r="F191" s="1">
        <v>44588</v>
      </c>
      <c r="G191" s="11">
        <v>1</v>
      </c>
    </row>
    <row r="192" spans="1:7" x14ac:dyDescent="0.25">
      <c r="A192" s="6">
        <v>307575</v>
      </c>
      <c r="B192" s="1">
        <v>44620</v>
      </c>
      <c r="C192" s="11">
        <v>1</v>
      </c>
      <c r="E192" s="6">
        <v>307575</v>
      </c>
      <c r="F192" s="1">
        <v>44620</v>
      </c>
      <c r="G192" s="11">
        <v>1</v>
      </c>
    </row>
    <row r="193" spans="1:7" x14ac:dyDescent="0.25">
      <c r="A193" s="6">
        <v>307578</v>
      </c>
      <c r="B193" s="1">
        <v>44777</v>
      </c>
      <c r="C193" s="11">
        <v>2</v>
      </c>
      <c r="E193" s="6">
        <v>307578</v>
      </c>
      <c r="F193" s="1">
        <v>44777</v>
      </c>
      <c r="G193" s="11">
        <v>2</v>
      </c>
    </row>
    <row r="194" spans="1:7" x14ac:dyDescent="0.25">
      <c r="A194" s="6">
        <v>307581</v>
      </c>
      <c r="B194" s="1">
        <v>44623</v>
      </c>
      <c r="C194" s="11">
        <v>5</v>
      </c>
      <c r="E194" s="6">
        <v>307581</v>
      </c>
      <c r="F194" s="1">
        <v>44623</v>
      </c>
      <c r="G194" s="11">
        <v>5</v>
      </c>
    </row>
    <row r="195" spans="1:7" x14ac:dyDescent="0.25">
      <c r="A195" s="6">
        <v>307582</v>
      </c>
      <c r="B195" s="1">
        <v>44712</v>
      </c>
      <c r="C195" s="11">
        <v>3</v>
      </c>
      <c r="E195" s="6">
        <v>307582</v>
      </c>
      <c r="F195" s="1">
        <v>44712</v>
      </c>
      <c r="G195" s="11">
        <v>3</v>
      </c>
    </row>
    <row r="196" spans="1:7" x14ac:dyDescent="0.25">
      <c r="A196" s="6">
        <v>307587</v>
      </c>
      <c r="B196" s="1">
        <v>44577</v>
      </c>
      <c r="C196" s="11">
        <v>6</v>
      </c>
      <c r="E196" s="6">
        <v>307587</v>
      </c>
      <c r="F196" s="1">
        <v>44577</v>
      </c>
      <c r="G196" s="11">
        <v>6</v>
      </c>
    </row>
    <row r="197" spans="1:7" x14ac:dyDescent="0.25">
      <c r="A197" s="6">
        <v>307592</v>
      </c>
      <c r="B197" s="1">
        <v>44847</v>
      </c>
      <c r="C197" s="11">
        <v>1</v>
      </c>
      <c r="E197" s="6">
        <v>307592</v>
      </c>
      <c r="F197" s="1">
        <v>44847</v>
      </c>
      <c r="G197" s="11">
        <v>1</v>
      </c>
    </row>
    <row r="198" spans="1:7" x14ac:dyDescent="0.25">
      <c r="A198" s="6">
        <v>307595</v>
      </c>
      <c r="B198" s="1">
        <v>44864</v>
      </c>
      <c r="C198" s="11">
        <v>1</v>
      </c>
      <c r="E198" s="6">
        <v>307595</v>
      </c>
      <c r="F198" s="1">
        <v>44864</v>
      </c>
      <c r="G198" s="11">
        <v>1</v>
      </c>
    </row>
    <row r="199" spans="1:7" x14ac:dyDescent="0.25">
      <c r="A199" s="6">
        <v>307596</v>
      </c>
      <c r="B199" s="1">
        <v>44729</v>
      </c>
      <c r="C199" s="11">
        <v>4</v>
      </c>
      <c r="E199" s="6">
        <v>307596</v>
      </c>
      <c r="F199" s="1">
        <v>44729</v>
      </c>
      <c r="G199" s="11">
        <v>4</v>
      </c>
    </row>
    <row r="200" spans="1:7" x14ac:dyDescent="0.25">
      <c r="A200" s="6">
        <v>307600</v>
      </c>
      <c r="B200" s="1">
        <v>44861</v>
      </c>
      <c r="C200" s="11">
        <v>2</v>
      </c>
      <c r="E200" s="6">
        <v>307600</v>
      </c>
      <c r="F200" s="1">
        <v>44861</v>
      </c>
      <c r="G200" s="11">
        <v>2</v>
      </c>
    </row>
    <row r="201" spans="1:7" x14ac:dyDescent="0.25">
      <c r="A201" s="6">
        <v>307601</v>
      </c>
      <c r="B201" s="1">
        <v>44762</v>
      </c>
      <c r="C201" s="11">
        <v>3</v>
      </c>
      <c r="E201" s="6">
        <v>307601</v>
      </c>
      <c r="F201" s="1">
        <v>44762</v>
      </c>
      <c r="G201" s="11">
        <v>3</v>
      </c>
    </row>
    <row r="202" spans="1:7" x14ac:dyDescent="0.25">
      <c r="A202" s="6">
        <v>307606</v>
      </c>
      <c r="B202" s="1">
        <v>44762</v>
      </c>
      <c r="C202" s="11">
        <v>1</v>
      </c>
      <c r="E202" s="6">
        <v>307606</v>
      </c>
      <c r="F202" s="1">
        <v>44762</v>
      </c>
      <c r="G202" s="11">
        <v>1</v>
      </c>
    </row>
    <row r="203" spans="1:7" x14ac:dyDescent="0.25">
      <c r="A203" s="6">
        <v>307611</v>
      </c>
      <c r="B203" s="1">
        <v>44812</v>
      </c>
      <c r="C203" s="11">
        <v>3</v>
      </c>
      <c r="E203" s="6">
        <v>307611</v>
      </c>
      <c r="F203" s="1">
        <v>44812</v>
      </c>
      <c r="G203" s="11">
        <v>3</v>
      </c>
    </row>
    <row r="204" spans="1:7" x14ac:dyDescent="0.25">
      <c r="A204" s="6">
        <v>307613</v>
      </c>
      <c r="B204" s="1">
        <v>44617</v>
      </c>
      <c r="C204" s="11">
        <v>4</v>
      </c>
      <c r="E204" s="6">
        <v>307613</v>
      </c>
      <c r="F204" s="1">
        <v>44617</v>
      </c>
      <c r="G204" s="11">
        <v>4</v>
      </c>
    </row>
    <row r="205" spans="1:7" x14ac:dyDescent="0.25">
      <c r="A205" s="6">
        <v>307614</v>
      </c>
      <c r="B205" s="1">
        <v>44782</v>
      </c>
      <c r="C205" s="11">
        <v>4</v>
      </c>
      <c r="E205" s="6">
        <v>307614</v>
      </c>
      <c r="F205" s="1">
        <v>44782</v>
      </c>
      <c r="G205" s="11">
        <v>4</v>
      </c>
    </row>
    <row r="206" spans="1:7" x14ac:dyDescent="0.25">
      <c r="A206" s="6">
        <v>307619</v>
      </c>
      <c r="B206" s="1">
        <v>44717</v>
      </c>
      <c r="C206" s="11">
        <v>2</v>
      </c>
      <c r="E206" s="6">
        <v>307619</v>
      </c>
      <c r="F206" s="1">
        <v>44717</v>
      </c>
      <c r="G206" s="11">
        <v>2</v>
      </c>
    </row>
    <row r="207" spans="1:7" x14ac:dyDescent="0.25">
      <c r="A207" s="6">
        <v>307621</v>
      </c>
      <c r="B207" s="1">
        <v>44688</v>
      </c>
      <c r="C207" s="11">
        <v>5</v>
      </c>
      <c r="E207" s="6">
        <v>307621</v>
      </c>
      <c r="F207" s="1">
        <v>44688</v>
      </c>
      <c r="G207" s="11">
        <v>5</v>
      </c>
    </row>
    <row r="208" spans="1:7" x14ac:dyDescent="0.25">
      <c r="A208" s="6">
        <v>307626</v>
      </c>
      <c r="B208" s="1">
        <v>44769</v>
      </c>
      <c r="C208" s="11">
        <v>2</v>
      </c>
      <c r="E208" s="6">
        <v>307626</v>
      </c>
      <c r="F208" s="1">
        <v>44769</v>
      </c>
      <c r="G208" s="11">
        <v>2</v>
      </c>
    </row>
    <row r="209" spans="1:7" x14ac:dyDescent="0.25">
      <c r="A209" s="6">
        <v>307628</v>
      </c>
      <c r="B209" s="1">
        <v>44749</v>
      </c>
      <c r="C209" s="11">
        <v>1</v>
      </c>
      <c r="E209" s="6">
        <v>307628</v>
      </c>
      <c r="F209" s="1">
        <v>44749</v>
      </c>
      <c r="G209" s="11">
        <v>1</v>
      </c>
    </row>
    <row r="210" spans="1:7" x14ac:dyDescent="0.25">
      <c r="A210" s="6">
        <v>307633</v>
      </c>
      <c r="B210" s="1">
        <v>44601</v>
      </c>
      <c r="C210" s="11">
        <v>3</v>
      </c>
      <c r="E210" s="6">
        <v>307633</v>
      </c>
      <c r="F210" s="1">
        <v>44601</v>
      </c>
      <c r="G210" s="11">
        <v>3</v>
      </c>
    </row>
    <row r="211" spans="1:7" x14ac:dyDescent="0.25">
      <c r="A211" s="6">
        <v>307634</v>
      </c>
      <c r="B211" s="1">
        <v>44718</v>
      </c>
      <c r="C211" s="11">
        <v>1</v>
      </c>
      <c r="E211" s="6">
        <v>307634</v>
      </c>
      <c r="F211" s="1">
        <v>44718</v>
      </c>
      <c r="G211" s="11">
        <v>1</v>
      </c>
    </row>
    <row r="212" spans="1:7" x14ac:dyDescent="0.25">
      <c r="A212" s="6">
        <v>307635</v>
      </c>
      <c r="B212" s="1">
        <v>44574</v>
      </c>
      <c r="C212" s="11">
        <v>1</v>
      </c>
      <c r="E212" s="6">
        <v>307635</v>
      </c>
      <c r="F212" s="1">
        <v>44574</v>
      </c>
      <c r="G212" s="11">
        <v>1</v>
      </c>
    </row>
    <row r="213" spans="1:7" x14ac:dyDescent="0.25">
      <c r="A213" s="6">
        <v>307640</v>
      </c>
      <c r="B213" s="1">
        <v>44813</v>
      </c>
      <c r="C213" s="11">
        <v>1</v>
      </c>
      <c r="E213" s="6">
        <v>307640</v>
      </c>
      <c r="F213" s="1">
        <v>44813</v>
      </c>
      <c r="G213" s="11">
        <v>1</v>
      </c>
    </row>
    <row r="214" spans="1:7" x14ac:dyDescent="0.25">
      <c r="A214" s="6">
        <v>307645</v>
      </c>
      <c r="B214" s="1">
        <v>44707</v>
      </c>
      <c r="C214" s="11">
        <v>1</v>
      </c>
      <c r="E214" s="6">
        <v>307645</v>
      </c>
      <c r="F214" s="1">
        <v>44707</v>
      </c>
      <c r="G214" s="11">
        <v>1</v>
      </c>
    </row>
    <row r="215" spans="1:7" x14ac:dyDescent="0.25">
      <c r="A215" s="6">
        <v>307650</v>
      </c>
      <c r="B215" s="1">
        <v>44805</v>
      </c>
      <c r="C215" s="11">
        <v>5</v>
      </c>
      <c r="E215" s="6">
        <v>307650</v>
      </c>
      <c r="F215" s="1">
        <v>44805</v>
      </c>
      <c r="G215" s="11">
        <v>5</v>
      </c>
    </row>
    <row r="216" spans="1:7" x14ac:dyDescent="0.25">
      <c r="A216" s="6">
        <v>307651</v>
      </c>
      <c r="B216" s="1">
        <v>44804</v>
      </c>
      <c r="C216" s="11">
        <v>1</v>
      </c>
      <c r="E216" s="6">
        <v>307651</v>
      </c>
      <c r="F216" s="1">
        <v>44804</v>
      </c>
      <c r="G216" s="11">
        <v>1</v>
      </c>
    </row>
    <row r="217" spans="1:7" x14ac:dyDescent="0.25">
      <c r="A217" s="6">
        <v>307653</v>
      </c>
      <c r="B217" s="1">
        <v>44858</v>
      </c>
      <c r="C217" s="11">
        <v>1</v>
      </c>
      <c r="E217" s="6">
        <v>307653</v>
      </c>
      <c r="F217" s="1">
        <v>44858</v>
      </c>
      <c r="G217" s="11">
        <v>1</v>
      </c>
    </row>
    <row r="218" spans="1:7" x14ac:dyDescent="0.25">
      <c r="A218" s="6">
        <v>307657</v>
      </c>
      <c r="B218" s="1">
        <v>44680</v>
      </c>
      <c r="C218" s="11">
        <v>4</v>
      </c>
      <c r="E218" s="6">
        <v>307657</v>
      </c>
      <c r="F218" s="1">
        <v>44680</v>
      </c>
      <c r="G218" s="11">
        <v>4</v>
      </c>
    </row>
    <row r="219" spans="1:7" x14ac:dyDescent="0.25">
      <c r="A219" s="6">
        <v>307661</v>
      </c>
      <c r="B219" s="1">
        <v>44618</v>
      </c>
      <c r="C219" s="11">
        <v>1</v>
      </c>
      <c r="E219" s="6">
        <v>307661</v>
      </c>
      <c r="F219" s="1">
        <v>44618</v>
      </c>
      <c r="G219" s="11">
        <v>1</v>
      </c>
    </row>
    <row r="220" spans="1:7" x14ac:dyDescent="0.25">
      <c r="A220" s="6">
        <v>307662</v>
      </c>
      <c r="B220" s="1">
        <v>44603</v>
      </c>
      <c r="C220" s="11">
        <v>1</v>
      </c>
      <c r="E220" s="6">
        <v>307662</v>
      </c>
      <c r="F220" s="1">
        <v>44603</v>
      </c>
      <c r="G220" s="11">
        <v>1</v>
      </c>
    </row>
    <row r="221" spans="1:7" x14ac:dyDescent="0.25">
      <c r="A221" s="6">
        <v>307664</v>
      </c>
      <c r="B221" s="1">
        <v>44723</v>
      </c>
      <c r="C221" s="11">
        <v>2</v>
      </c>
      <c r="E221" s="6">
        <v>307664</v>
      </c>
      <c r="F221" s="1">
        <v>44723</v>
      </c>
      <c r="G221" s="11">
        <v>2</v>
      </c>
    </row>
    <row r="222" spans="1:7" x14ac:dyDescent="0.25">
      <c r="A222" s="6">
        <v>307669</v>
      </c>
      <c r="B222" s="1">
        <v>44742</v>
      </c>
      <c r="C222" s="11">
        <v>3</v>
      </c>
      <c r="E222" s="6">
        <v>307669</v>
      </c>
      <c r="F222" s="1">
        <v>44742</v>
      </c>
      <c r="G222" s="11">
        <v>3</v>
      </c>
    </row>
    <row r="223" spans="1:7" x14ac:dyDescent="0.25">
      <c r="A223" s="6">
        <v>307674</v>
      </c>
      <c r="B223" s="1">
        <v>44768</v>
      </c>
      <c r="C223" s="11">
        <v>1</v>
      </c>
      <c r="E223" s="6">
        <v>307674</v>
      </c>
      <c r="F223" s="1">
        <v>44768</v>
      </c>
      <c r="G223" s="11">
        <v>1</v>
      </c>
    </row>
    <row r="224" spans="1:7" x14ac:dyDescent="0.25">
      <c r="A224" s="6">
        <v>307679</v>
      </c>
      <c r="B224" s="1">
        <v>44841</v>
      </c>
      <c r="C224" s="11">
        <v>5</v>
      </c>
      <c r="E224" s="6">
        <v>307679</v>
      </c>
      <c r="F224" s="1">
        <v>44841</v>
      </c>
      <c r="G224" s="11">
        <v>5</v>
      </c>
    </row>
    <row r="225" spans="1:7" x14ac:dyDescent="0.25">
      <c r="A225" s="6">
        <v>307683</v>
      </c>
      <c r="B225" s="1">
        <v>44754</v>
      </c>
      <c r="C225" s="11">
        <v>5</v>
      </c>
      <c r="E225" s="6">
        <v>307683</v>
      </c>
      <c r="F225" s="1">
        <v>44754</v>
      </c>
      <c r="G225" s="11">
        <v>5</v>
      </c>
    </row>
    <row r="226" spans="1:7" x14ac:dyDescent="0.25">
      <c r="A226" s="6">
        <v>307688</v>
      </c>
      <c r="B226" s="1">
        <v>44591</v>
      </c>
      <c r="C226" s="11">
        <v>1</v>
      </c>
      <c r="E226" s="6">
        <v>307688</v>
      </c>
      <c r="F226" s="1">
        <v>44591</v>
      </c>
      <c r="G226" s="11">
        <v>1</v>
      </c>
    </row>
    <row r="227" spans="1:7" x14ac:dyDescent="0.25">
      <c r="A227" s="6">
        <v>307691</v>
      </c>
      <c r="B227" s="1">
        <v>44682</v>
      </c>
      <c r="C227" s="11">
        <v>1</v>
      </c>
      <c r="E227" s="6">
        <v>307691</v>
      </c>
      <c r="F227" s="1">
        <v>44682</v>
      </c>
      <c r="G227" s="11">
        <v>1</v>
      </c>
    </row>
    <row r="228" spans="1:7" x14ac:dyDescent="0.25">
      <c r="A228" s="6">
        <v>307692</v>
      </c>
      <c r="B228" s="1">
        <v>44738</v>
      </c>
      <c r="C228" s="11">
        <v>1</v>
      </c>
      <c r="E228" s="6">
        <v>307692</v>
      </c>
      <c r="F228" s="1">
        <v>44738</v>
      </c>
      <c r="G228" s="11">
        <v>1</v>
      </c>
    </row>
    <row r="229" spans="1:7" x14ac:dyDescent="0.25">
      <c r="A229" s="6">
        <v>307696</v>
      </c>
      <c r="B229" s="1">
        <v>44642</v>
      </c>
      <c r="C229" s="11">
        <v>3</v>
      </c>
      <c r="E229" s="6">
        <v>307696</v>
      </c>
      <c r="F229" s="1">
        <v>44642</v>
      </c>
      <c r="G229" s="11">
        <v>3</v>
      </c>
    </row>
    <row r="230" spans="1:7" x14ac:dyDescent="0.25">
      <c r="A230" s="6">
        <v>307699</v>
      </c>
      <c r="B230" s="1">
        <v>44787</v>
      </c>
      <c r="C230" s="11">
        <v>1</v>
      </c>
      <c r="E230" s="6">
        <v>307699</v>
      </c>
      <c r="F230" s="1">
        <v>44787</v>
      </c>
      <c r="G230" s="11">
        <v>1</v>
      </c>
    </row>
    <row r="231" spans="1:7" x14ac:dyDescent="0.25">
      <c r="A231" s="6">
        <v>307703</v>
      </c>
      <c r="B231" s="1">
        <v>44810</v>
      </c>
      <c r="C231" s="11">
        <v>4</v>
      </c>
      <c r="E231" s="6">
        <v>307703</v>
      </c>
      <c r="F231" s="1">
        <v>44810</v>
      </c>
      <c r="G231" s="11">
        <v>4</v>
      </c>
    </row>
    <row r="232" spans="1:7" x14ac:dyDescent="0.25">
      <c r="A232" s="6">
        <v>307708</v>
      </c>
      <c r="B232" s="1">
        <v>44703</v>
      </c>
      <c r="C232" s="11">
        <v>1</v>
      </c>
      <c r="E232" s="6">
        <v>307708</v>
      </c>
      <c r="F232" s="1">
        <v>44703</v>
      </c>
      <c r="G232" s="11">
        <v>1</v>
      </c>
    </row>
    <row r="233" spans="1:7" x14ac:dyDescent="0.25">
      <c r="A233" s="6">
        <v>307712</v>
      </c>
      <c r="B233" s="1">
        <v>44828</v>
      </c>
      <c r="C233" s="11">
        <v>2</v>
      </c>
      <c r="E233" s="6">
        <v>307712</v>
      </c>
      <c r="F233" s="1">
        <v>44828</v>
      </c>
      <c r="G233" s="11">
        <v>2</v>
      </c>
    </row>
    <row r="234" spans="1:7" x14ac:dyDescent="0.25">
      <c r="A234" s="6">
        <v>307714</v>
      </c>
      <c r="B234" s="1">
        <v>44808</v>
      </c>
      <c r="C234" s="11">
        <v>3</v>
      </c>
      <c r="E234" s="6">
        <v>307714</v>
      </c>
      <c r="F234" s="1">
        <v>44808</v>
      </c>
      <c r="G234" s="11">
        <v>3</v>
      </c>
    </row>
    <row r="235" spans="1:7" x14ac:dyDescent="0.25">
      <c r="A235" s="6">
        <v>307719</v>
      </c>
      <c r="B235" s="1">
        <v>44675</v>
      </c>
      <c r="C235" s="11">
        <v>2</v>
      </c>
      <c r="E235" s="6">
        <v>307719</v>
      </c>
      <c r="F235" s="1">
        <v>44675</v>
      </c>
      <c r="G235" s="11">
        <v>2</v>
      </c>
    </row>
    <row r="236" spans="1:7" x14ac:dyDescent="0.25">
      <c r="A236" s="6">
        <v>307721</v>
      </c>
      <c r="B236" s="1">
        <v>44573</v>
      </c>
      <c r="C236" s="11">
        <v>3</v>
      </c>
      <c r="E236" s="6">
        <v>307721</v>
      </c>
      <c r="F236" s="1">
        <v>44573</v>
      </c>
      <c r="G236" s="11">
        <v>3</v>
      </c>
    </row>
    <row r="237" spans="1:7" x14ac:dyDescent="0.25">
      <c r="A237" s="6">
        <v>307723</v>
      </c>
      <c r="B237" s="1">
        <v>44647</v>
      </c>
      <c r="C237" s="11">
        <v>6</v>
      </c>
      <c r="E237" s="6">
        <v>307723</v>
      </c>
      <c r="F237" s="1">
        <v>44647</v>
      </c>
      <c r="G237" s="11">
        <v>6</v>
      </c>
    </row>
    <row r="238" spans="1:7" x14ac:dyDescent="0.25">
      <c r="A238" s="6">
        <v>307724</v>
      </c>
      <c r="B238" s="1">
        <v>44757</v>
      </c>
      <c r="C238" s="11">
        <v>3</v>
      </c>
      <c r="E238" s="6">
        <v>307724</v>
      </c>
      <c r="F238" s="1">
        <v>44757</v>
      </c>
      <c r="G238" s="11">
        <v>3</v>
      </c>
    </row>
    <row r="239" spans="1:7" x14ac:dyDescent="0.25">
      <c r="A239" s="6">
        <v>307728</v>
      </c>
      <c r="B239" s="1">
        <v>44603</v>
      </c>
      <c r="C239" s="11">
        <v>3</v>
      </c>
      <c r="E239" s="6">
        <v>307728</v>
      </c>
      <c r="F239" s="1">
        <v>44603</v>
      </c>
      <c r="G239" s="11">
        <v>3</v>
      </c>
    </row>
    <row r="240" spans="1:7" x14ac:dyDescent="0.25">
      <c r="A240" s="6">
        <v>307732</v>
      </c>
      <c r="B240" s="1">
        <v>44762</v>
      </c>
      <c r="C240" s="11">
        <v>5</v>
      </c>
      <c r="E240" s="6">
        <v>307732</v>
      </c>
      <c r="F240" s="1">
        <v>44762</v>
      </c>
      <c r="G240" s="11">
        <v>5</v>
      </c>
    </row>
    <row r="241" spans="1:7" x14ac:dyDescent="0.25">
      <c r="A241" s="6">
        <v>307737</v>
      </c>
      <c r="B241" s="1">
        <v>44809</v>
      </c>
      <c r="C241" s="11">
        <v>2</v>
      </c>
      <c r="E241" s="6">
        <v>307737</v>
      </c>
      <c r="F241" s="1">
        <v>44809</v>
      </c>
      <c r="G241" s="11">
        <v>2</v>
      </c>
    </row>
    <row r="242" spans="1:7" x14ac:dyDescent="0.25">
      <c r="A242" s="6">
        <v>307740</v>
      </c>
      <c r="B242" s="1">
        <v>44592</v>
      </c>
      <c r="C242" s="11">
        <v>1</v>
      </c>
      <c r="E242" s="6">
        <v>307740</v>
      </c>
      <c r="F242" s="1">
        <v>44592</v>
      </c>
      <c r="G242" s="11">
        <v>1</v>
      </c>
    </row>
    <row r="243" spans="1:7" x14ac:dyDescent="0.25">
      <c r="A243" s="6">
        <v>307742</v>
      </c>
      <c r="B243" s="1">
        <v>44760</v>
      </c>
      <c r="C243" s="11">
        <v>1</v>
      </c>
      <c r="E243" s="6">
        <v>307742</v>
      </c>
      <c r="F243" s="1">
        <v>44760</v>
      </c>
      <c r="G243" s="11">
        <v>1</v>
      </c>
    </row>
    <row r="244" spans="1:7" x14ac:dyDescent="0.25">
      <c r="A244" s="6">
        <v>307743</v>
      </c>
      <c r="B244" s="1">
        <v>44720</v>
      </c>
      <c r="C244" s="11">
        <v>1</v>
      </c>
      <c r="E244" s="6">
        <v>307743</v>
      </c>
      <c r="F244" s="1">
        <v>44720</v>
      </c>
      <c r="G244" s="11">
        <v>1</v>
      </c>
    </row>
    <row r="245" spans="1:7" x14ac:dyDescent="0.25">
      <c r="A245" s="6">
        <v>307745</v>
      </c>
      <c r="B245" s="1">
        <v>44632</v>
      </c>
      <c r="C245" s="11">
        <v>1</v>
      </c>
      <c r="E245" s="6">
        <v>307745</v>
      </c>
      <c r="F245" s="1">
        <v>44632</v>
      </c>
      <c r="G245" s="11">
        <v>1</v>
      </c>
    </row>
    <row r="246" spans="1:7" x14ac:dyDescent="0.25">
      <c r="A246" s="6">
        <v>307748</v>
      </c>
      <c r="B246" s="1">
        <v>44783</v>
      </c>
      <c r="C246" s="11">
        <v>1</v>
      </c>
      <c r="E246" s="6">
        <v>307748</v>
      </c>
      <c r="F246" s="1">
        <v>44783</v>
      </c>
      <c r="G246" s="11">
        <v>1</v>
      </c>
    </row>
    <row r="247" spans="1:7" x14ac:dyDescent="0.25">
      <c r="A247" s="6">
        <v>307749</v>
      </c>
      <c r="B247" s="1">
        <v>44821</v>
      </c>
      <c r="C247" s="11">
        <v>5</v>
      </c>
      <c r="E247" s="6">
        <v>307749</v>
      </c>
      <c r="F247" s="1">
        <v>44821</v>
      </c>
      <c r="G247" s="11">
        <v>5</v>
      </c>
    </row>
    <row r="248" spans="1:7" x14ac:dyDescent="0.25">
      <c r="A248" s="6">
        <v>307751</v>
      </c>
      <c r="B248" s="1">
        <v>44743</v>
      </c>
      <c r="C248" s="11">
        <v>3</v>
      </c>
      <c r="E248" s="6">
        <v>307751</v>
      </c>
      <c r="F248" s="1">
        <v>44743</v>
      </c>
      <c r="G248" s="11">
        <v>3</v>
      </c>
    </row>
    <row r="249" spans="1:7" x14ac:dyDescent="0.25">
      <c r="A249" s="6">
        <v>307754</v>
      </c>
      <c r="B249" s="1">
        <v>44657</v>
      </c>
      <c r="C249" s="11">
        <v>2</v>
      </c>
      <c r="E249" s="6">
        <v>307754</v>
      </c>
      <c r="F249" s="1">
        <v>44657</v>
      </c>
      <c r="G249" s="11">
        <v>2</v>
      </c>
    </row>
    <row r="250" spans="1:7" x14ac:dyDescent="0.25">
      <c r="A250" s="6">
        <v>307759</v>
      </c>
      <c r="B250" s="1">
        <v>44683</v>
      </c>
      <c r="C250" s="11">
        <v>1</v>
      </c>
      <c r="E250" s="6">
        <v>307759</v>
      </c>
      <c r="F250" s="1">
        <v>44683</v>
      </c>
      <c r="G250" s="11">
        <v>1</v>
      </c>
    </row>
    <row r="251" spans="1:7" x14ac:dyDescent="0.25">
      <c r="A251" s="6">
        <v>307763</v>
      </c>
      <c r="B251" s="1">
        <v>44824</v>
      </c>
      <c r="C251" s="11">
        <v>6</v>
      </c>
      <c r="E251" s="6">
        <v>307763</v>
      </c>
      <c r="F251" s="1">
        <v>44824</v>
      </c>
      <c r="G251" s="11">
        <v>6</v>
      </c>
    </row>
    <row r="252" spans="1:7" x14ac:dyDescent="0.25">
      <c r="A252" s="6">
        <v>307764</v>
      </c>
      <c r="B252" s="1">
        <v>44631</v>
      </c>
      <c r="C252" s="11">
        <v>6</v>
      </c>
      <c r="E252" s="6">
        <v>307764</v>
      </c>
      <c r="F252" s="1">
        <v>44631</v>
      </c>
      <c r="G252" s="11">
        <v>6</v>
      </c>
    </row>
    <row r="253" spans="1:7" x14ac:dyDescent="0.25">
      <c r="A253" s="6">
        <v>307768</v>
      </c>
      <c r="B253" s="1">
        <v>44659</v>
      </c>
      <c r="C253" s="11">
        <v>1</v>
      </c>
      <c r="E253" s="6">
        <v>307768</v>
      </c>
      <c r="F253" s="1">
        <v>44659</v>
      </c>
      <c r="G253" s="11">
        <v>1</v>
      </c>
    </row>
    <row r="254" spans="1:7" x14ac:dyDescent="0.25">
      <c r="A254" s="6">
        <v>307769</v>
      </c>
      <c r="B254" s="1">
        <v>44635</v>
      </c>
      <c r="C254" s="11">
        <v>2</v>
      </c>
      <c r="E254" s="6">
        <v>307769</v>
      </c>
      <c r="F254" s="1">
        <v>44635</v>
      </c>
      <c r="G254" s="11">
        <v>2</v>
      </c>
    </row>
    <row r="255" spans="1:7" x14ac:dyDescent="0.25">
      <c r="A255" s="6">
        <v>307772</v>
      </c>
      <c r="B255" s="1">
        <v>44596</v>
      </c>
      <c r="C255" s="11">
        <v>5</v>
      </c>
      <c r="E255" s="6">
        <v>307772</v>
      </c>
      <c r="F255" s="1">
        <v>44596</v>
      </c>
      <c r="G255" s="11">
        <v>5</v>
      </c>
    </row>
    <row r="256" spans="1:7" x14ac:dyDescent="0.25">
      <c r="A256" s="6">
        <v>307774</v>
      </c>
      <c r="B256" s="1">
        <v>44635</v>
      </c>
      <c r="C256" s="11">
        <v>5</v>
      </c>
      <c r="E256" s="6">
        <v>307774</v>
      </c>
      <c r="F256" s="1">
        <v>44635</v>
      </c>
      <c r="G256" s="11">
        <v>5</v>
      </c>
    </row>
    <row r="257" spans="1:7" x14ac:dyDescent="0.25">
      <c r="A257" s="6">
        <v>307778</v>
      </c>
      <c r="B257" s="1">
        <v>44768</v>
      </c>
      <c r="C257" s="11">
        <v>1</v>
      </c>
      <c r="E257" s="6">
        <v>307778</v>
      </c>
      <c r="F257" s="1">
        <v>44768</v>
      </c>
      <c r="G257" s="11">
        <v>1</v>
      </c>
    </row>
    <row r="258" spans="1:7" x14ac:dyDescent="0.25">
      <c r="A258" s="6">
        <v>307779</v>
      </c>
      <c r="B258" s="1">
        <v>44832</v>
      </c>
      <c r="C258" s="11">
        <v>1</v>
      </c>
      <c r="E258" s="6">
        <v>307779</v>
      </c>
      <c r="F258" s="1">
        <v>44832</v>
      </c>
      <c r="G258" s="11">
        <v>1</v>
      </c>
    </row>
    <row r="259" spans="1:7" x14ac:dyDescent="0.25">
      <c r="A259" s="6">
        <v>307782</v>
      </c>
      <c r="B259" s="1">
        <v>44612</v>
      </c>
      <c r="C259" s="11">
        <v>3</v>
      </c>
      <c r="E259" s="6">
        <v>307782</v>
      </c>
      <c r="F259" s="1">
        <v>44612</v>
      </c>
      <c r="G259" s="11">
        <v>3</v>
      </c>
    </row>
    <row r="260" spans="1:7" x14ac:dyDescent="0.25">
      <c r="A260" s="6">
        <v>307787</v>
      </c>
      <c r="B260" s="1">
        <v>44791</v>
      </c>
      <c r="C260" s="11">
        <v>1</v>
      </c>
      <c r="E260" s="6">
        <v>307787</v>
      </c>
      <c r="F260" s="1">
        <v>44791</v>
      </c>
      <c r="G260" s="11">
        <v>1</v>
      </c>
    </row>
    <row r="261" spans="1:7" x14ac:dyDescent="0.25">
      <c r="A261" s="6">
        <v>307791</v>
      </c>
      <c r="B261" s="1">
        <v>44687</v>
      </c>
      <c r="C261" s="11">
        <v>1</v>
      </c>
      <c r="E261" s="6">
        <v>307791</v>
      </c>
      <c r="F261" s="1">
        <v>44687</v>
      </c>
      <c r="G261" s="11">
        <v>1</v>
      </c>
    </row>
    <row r="262" spans="1:7" x14ac:dyDescent="0.25">
      <c r="A262" s="6">
        <v>307792</v>
      </c>
      <c r="B262" s="1">
        <v>44627</v>
      </c>
      <c r="C262" s="11">
        <v>3</v>
      </c>
      <c r="E262" s="6">
        <v>307792</v>
      </c>
      <c r="F262" s="1">
        <v>44627</v>
      </c>
      <c r="G262" s="11">
        <v>3</v>
      </c>
    </row>
    <row r="263" spans="1:7" x14ac:dyDescent="0.25">
      <c r="A263" s="6">
        <v>307795</v>
      </c>
      <c r="B263" s="1">
        <v>44764</v>
      </c>
      <c r="C263" s="11">
        <v>1</v>
      </c>
      <c r="E263" s="6">
        <v>307795</v>
      </c>
      <c r="F263" s="1">
        <v>44764</v>
      </c>
      <c r="G263" s="11">
        <v>1</v>
      </c>
    </row>
    <row r="264" spans="1:7" x14ac:dyDescent="0.25">
      <c r="A264" s="6">
        <v>307800</v>
      </c>
      <c r="B264" s="1">
        <v>44799</v>
      </c>
      <c r="C264" s="11">
        <v>1</v>
      </c>
      <c r="E264" s="6">
        <v>307800</v>
      </c>
      <c r="F264" s="1">
        <v>44799</v>
      </c>
      <c r="G264" s="11">
        <v>1</v>
      </c>
    </row>
    <row r="265" spans="1:7" x14ac:dyDescent="0.25">
      <c r="A265" s="6">
        <v>307803</v>
      </c>
      <c r="B265" s="1">
        <v>44782</v>
      </c>
      <c r="C265" s="11">
        <v>3</v>
      </c>
      <c r="E265" s="6">
        <v>307803</v>
      </c>
      <c r="F265" s="1">
        <v>44782</v>
      </c>
      <c r="G265" s="11">
        <v>3</v>
      </c>
    </row>
    <row r="266" spans="1:7" x14ac:dyDescent="0.25">
      <c r="A266" s="6">
        <v>307808</v>
      </c>
      <c r="B266" s="1">
        <v>44667</v>
      </c>
      <c r="C266" s="11">
        <v>2</v>
      </c>
      <c r="E266" s="6">
        <v>307808</v>
      </c>
      <c r="F266" s="1">
        <v>44667</v>
      </c>
      <c r="G266" s="11">
        <v>2</v>
      </c>
    </row>
    <row r="267" spans="1:7" x14ac:dyDescent="0.25">
      <c r="A267" s="6">
        <v>307811</v>
      </c>
      <c r="B267" s="1">
        <v>44594</v>
      </c>
      <c r="C267" s="11">
        <v>1</v>
      </c>
      <c r="E267" s="6">
        <v>307811</v>
      </c>
      <c r="F267" s="1">
        <v>44594</v>
      </c>
      <c r="G267" s="11">
        <v>1</v>
      </c>
    </row>
    <row r="268" spans="1:7" x14ac:dyDescent="0.25">
      <c r="A268" s="6">
        <v>307816</v>
      </c>
      <c r="B268" s="1">
        <v>44707</v>
      </c>
      <c r="C268" s="11">
        <v>1</v>
      </c>
      <c r="E268" s="6">
        <v>307816</v>
      </c>
      <c r="F268" s="1">
        <v>44707</v>
      </c>
      <c r="G268" s="11">
        <v>1</v>
      </c>
    </row>
    <row r="269" spans="1:7" x14ac:dyDescent="0.25">
      <c r="A269" s="6">
        <v>307819</v>
      </c>
      <c r="B269" s="1">
        <v>44799</v>
      </c>
      <c r="C269" s="11">
        <v>2</v>
      </c>
      <c r="E269" s="6">
        <v>307819</v>
      </c>
      <c r="F269" s="1">
        <v>44799</v>
      </c>
      <c r="G269" s="11">
        <v>2</v>
      </c>
    </row>
    <row r="270" spans="1:7" x14ac:dyDescent="0.25">
      <c r="A270" s="6">
        <v>307822</v>
      </c>
      <c r="B270" s="1">
        <v>44773</v>
      </c>
      <c r="C270" s="11">
        <v>1</v>
      </c>
      <c r="E270" s="6">
        <v>307822</v>
      </c>
      <c r="F270" s="1">
        <v>44773</v>
      </c>
      <c r="G270" s="11">
        <v>1</v>
      </c>
    </row>
    <row r="271" spans="1:7" x14ac:dyDescent="0.25">
      <c r="A271" s="6">
        <v>307826</v>
      </c>
      <c r="B271" s="1">
        <v>44795</v>
      </c>
      <c r="C271" s="11">
        <v>2</v>
      </c>
      <c r="E271" s="6">
        <v>307826</v>
      </c>
      <c r="F271" s="1">
        <v>44795</v>
      </c>
      <c r="G271" s="11">
        <v>2</v>
      </c>
    </row>
    <row r="272" spans="1:7" x14ac:dyDescent="0.25">
      <c r="A272" s="6">
        <v>307827</v>
      </c>
      <c r="B272" s="1">
        <v>44574</v>
      </c>
      <c r="C272" s="11">
        <v>1</v>
      </c>
      <c r="E272" s="6">
        <v>307827</v>
      </c>
      <c r="F272" s="1">
        <v>44574</v>
      </c>
      <c r="G272" s="11">
        <v>1</v>
      </c>
    </row>
    <row r="273" spans="1:7" x14ac:dyDescent="0.25">
      <c r="A273" s="6">
        <v>307830</v>
      </c>
      <c r="B273" s="1">
        <v>44745</v>
      </c>
      <c r="C273" s="11">
        <v>1</v>
      </c>
      <c r="E273" s="6">
        <v>307830</v>
      </c>
      <c r="F273" s="1">
        <v>44745</v>
      </c>
      <c r="G273" s="11">
        <v>1</v>
      </c>
    </row>
    <row r="274" spans="1:7" x14ac:dyDescent="0.25">
      <c r="A274" s="6">
        <v>307834</v>
      </c>
      <c r="B274" s="1">
        <v>44564</v>
      </c>
      <c r="C274" s="11">
        <v>3</v>
      </c>
      <c r="E274" s="6">
        <v>307834</v>
      </c>
      <c r="F274" s="1">
        <v>44564</v>
      </c>
      <c r="G274" s="11">
        <v>3</v>
      </c>
    </row>
    <row r="275" spans="1:7" x14ac:dyDescent="0.25">
      <c r="A275" s="6">
        <v>307837</v>
      </c>
      <c r="B275" s="1">
        <v>44859</v>
      </c>
      <c r="C275" s="11">
        <v>3</v>
      </c>
      <c r="E275" s="6">
        <v>307837</v>
      </c>
      <c r="F275" s="1">
        <v>44859</v>
      </c>
      <c r="G275" s="11">
        <v>3</v>
      </c>
    </row>
    <row r="276" spans="1:7" x14ac:dyDescent="0.25">
      <c r="A276" s="6">
        <v>307838</v>
      </c>
      <c r="B276" s="1">
        <v>44639</v>
      </c>
      <c r="C276" s="11">
        <v>3</v>
      </c>
      <c r="E276" s="6">
        <v>307838</v>
      </c>
      <c r="F276" s="1">
        <v>44639</v>
      </c>
      <c r="G276" s="11">
        <v>3</v>
      </c>
    </row>
    <row r="277" spans="1:7" x14ac:dyDescent="0.25">
      <c r="A277" s="6">
        <v>307843</v>
      </c>
      <c r="B277" s="1">
        <v>44575</v>
      </c>
      <c r="C277" s="11">
        <v>6</v>
      </c>
      <c r="E277" s="6">
        <v>307843</v>
      </c>
      <c r="F277" s="1">
        <v>44575</v>
      </c>
      <c r="G277" s="11">
        <v>6</v>
      </c>
    </row>
    <row r="278" spans="1:7" x14ac:dyDescent="0.25">
      <c r="A278" s="6">
        <v>307847</v>
      </c>
      <c r="B278" s="1">
        <v>44663</v>
      </c>
      <c r="C278" s="11">
        <v>1</v>
      </c>
      <c r="E278" s="6">
        <v>307847</v>
      </c>
      <c r="F278" s="1">
        <v>44663</v>
      </c>
      <c r="G278" s="11">
        <v>1</v>
      </c>
    </row>
    <row r="279" spans="1:7" x14ac:dyDescent="0.25">
      <c r="A279" s="6">
        <v>307850</v>
      </c>
      <c r="B279" s="1">
        <v>44703</v>
      </c>
      <c r="C279" s="11">
        <v>2</v>
      </c>
      <c r="E279" s="6">
        <v>307850</v>
      </c>
      <c r="F279" s="1">
        <v>44703</v>
      </c>
      <c r="G279" s="11">
        <v>2</v>
      </c>
    </row>
    <row r="280" spans="1:7" x14ac:dyDescent="0.25">
      <c r="A280" s="6">
        <v>307853</v>
      </c>
      <c r="B280" s="1">
        <v>44614</v>
      </c>
      <c r="C280" s="11">
        <v>2</v>
      </c>
      <c r="E280" s="6">
        <v>307853</v>
      </c>
      <c r="F280" s="1">
        <v>44614</v>
      </c>
      <c r="G280" s="11">
        <v>2</v>
      </c>
    </row>
    <row r="281" spans="1:7" x14ac:dyDescent="0.25">
      <c r="A281" s="6">
        <v>307856</v>
      </c>
      <c r="B281" s="1">
        <v>44611</v>
      </c>
      <c r="C281" s="11">
        <v>1</v>
      </c>
      <c r="E281" s="6">
        <v>307856</v>
      </c>
      <c r="F281" s="1">
        <v>44611</v>
      </c>
      <c r="G281" s="11">
        <v>1</v>
      </c>
    </row>
    <row r="282" spans="1:7" x14ac:dyDescent="0.25">
      <c r="A282" s="6">
        <v>307860</v>
      </c>
      <c r="B282" s="1">
        <v>44681</v>
      </c>
      <c r="C282" s="11">
        <v>2</v>
      </c>
      <c r="E282" s="6">
        <v>307860</v>
      </c>
      <c r="F282" s="1">
        <v>44681</v>
      </c>
      <c r="G282" s="11">
        <v>2</v>
      </c>
    </row>
    <row r="283" spans="1:7" x14ac:dyDescent="0.25">
      <c r="A283" s="6">
        <v>307863</v>
      </c>
      <c r="B283" s="1">
        <v>44647</v>
      </c>
      <c r="C283" s="11">
        <v>2</v>
      </c>
      <c r="E283" s="6">
        <v>307863</v>
      </c>
      <c r="F283" s="1">
        <v>44647</v>
      </c>
      <c r="G283" s="11">
        <v>2</v>
      </c>
    </row>
    <row r="284" spans="1:7" x14ac:dyDescent="0.25">
      <c r="A284" s="6">
        <v>307867</v>
      </c>
      <c r="B284" s="1">
        <v>44838</v>
      </c>
      <c r="C284" s="11">
        <v>1</v>
      </c>
      <c r="E284" s="6">
        <v>307867</v>
      </c>
      <c r="F284" s="1">
        <v>44838</v>
      </c>
      <c r="G284" s="11">
        <v>1</v>
      </c>
    </row>
    <row r="285" spans="1:7" x14ac:dyDescent="0.25">
      <c r="A285" s="6">
        <v>307869</v>
      </c>
      <c r="B285" s="1">
        <v>44740</v>
      </c>
      <c r="C285" s="11">
        <v>2</v>
      </c>
      <c r="E285" s="6">
        <v>307869</v>
      </c>
      <c r="F285" s="1">
        <v>44740</v>
      </c>
      <c r="G285" s="11">
        <v>2</v>
      </c>
    </row>
    <row r="286" spans="1:7" x14ac:dyDescent="0.25">
      <c r="A286" s="6">
        <v>307872</v>
      </c>
      <c r="B286" s="1">
        <v>44820</v>
      </c>
      <c r="C286" s="11">
        <v>1</v>
      </c>
      <c r="E286" s="6">
        <v>307872</v>
      </c>
      <c r="F286" s="1">
        <v>44820</v>
      </c>
      <c r="G286" s="11">
        <v>1</v>
      </c>
    </row>
    <row r="287" spans="1:7" x14ac:dyDescent="0.25">
      <c r="A287" s="6">
        <v>307873</v>
      </c>
      <c r="B287" s="1">
        <v>44693</v>
      </c>
      <c r="C287" s="11">
        <v>3</v>
      </c>
      <c r="E287" s="6">
        <v>307873</v>
      </c>
      <c r="F287" s="1">
        <v>44693</v>
      </c>
      <c r="G287" s="11">
        <v>3</v>
      </c>
    </row>
    <row r="288" spans="1:7" x14ac:dyDescent="0.25">
      <c r="A288" s="6">
        <v>307876</v>
      </c>
      <c r="B288" s="1">
        <v>44648</v>
      </c>
      <c r="C288" s="11">
        <v>3</v>
      </c>
      <c r="E288" s="6">
        <v>307876</v>
      </c>
      <c r="F288" s="1">
        <v>44648</v>
      </c>
      <c r="G288" s="11">
        <v>3</v>
      </c>
    </row>
    <row r="289" spans="1:7" x14ac:dyDescent="0.25">
      <c r="A289" s="6">
        <v>307877</v>
      </c>
      <c r="B289" s="1">
        <v>44623</v>
      </c>
      <c r="C289" s="11">
        <v>1</v>
      </c>
      <c r="E289" s="6">
        <v>307877</v>
      </c>
      <c r="F289" s="1">
        <v>44623</v>
      </c>
      <c r="G289" s="11">
        <v>1</v>
      </c>
    </row>
    <row r="290" spans="1:7" x14ac:dyDescent="0.25">
      <c r="A290" s="6">
        <v>307881</v>
      </c>
      <c r="B290" s="1">
        <v>44800</v>
      </c>
      <c r="C290" s="11">
        <v>3</v>
      </c>
      <c r="E290" s="6">
        <v>307881</v>
      </c>
      <c r="F290" s="1">
        <v>44800</v>
      </c>
      <c r="G290" s="11">
        <v>3</v>
      </c>
    </row>
    <row r="291" spans="1:7" x14ac:dyDescent="0.25">
      <c r="A291" s="6">
        <v>307884</v>
      </c>
      <c r="B291" s="1">
        <v>44850</v>
      </c>
      <c r="C291" s="11">
        <v>1</v>
      </c>
      <c r="E291" s="6">
        <v>307884</v>
      </c>
      <c r="F291" s="1">
        <v>44850</v>
      </c>
      <c r="G291" s="11">
        <v>1</v>
      </c>
    </row>
    <row r="292" spans="1:7" x14ac:dyDescent="0.25">
      <c r="A292" s="6">
        <v>307885</v>
      </c>
      <c r="B292" s="1">
        <v>44620</v>
      </c>
      <c r="C292" s="11">
        <v>2</v>
      </c>
      <c r="E292" s="6">
        <v>307885</v>
      </c>
      <c r="F292" s="1">
        <v>44620</v>
      </c>
      <c r="G292" s="11">
        <v>2</v>
      </c>
    </row>
    <row r="293" spans="1:7" x14ac:dyDescent="0.25">
      <c r="A293" s="6">
        <v>307888</v>
      </c>
      <c r="B293" s="1">
        <v>44589</v>
      </c>
      <c r="C293" s="11">
        <v>2</v>
      </c>
      <c r="E293" s="6">
        <v>307888</v>
      </c>
      <c r="F293" s="1">
        <v>44589</v>
      </c>
      <c r="G293" s="11">
        <v>2</v>
      </c>
    </row>
    <row r="294" spans="1:7" x14ac:dyDescent="0.25">
      <c r="A294" s="6">
        <v>307891</v>
      </c>
      <c r="B294" s="1">
        <v>44579</v>
      </c>
      <c r="C294" s="11">
        <v>4</v>
      </c>
      <c r="E294" s="6">
        <v>307891</v>
      </c>
      <c r="F294" s="1">
        <v>44579</v>
      </c>
      <c r="G294" s="11">
        <v>4</v>
      </c>
    </row>
    <row r="295" spans="1:7" x14ac:dyDescent="0.25">
      <c r="A295" s="6">
        <v>307894</v>
      </c>
      <c r="B295" s="1">
        <v>44699</v>
      </c>
      <c r="C295" s="11">
        <v>1</v>
      </c>
      <c r="E295" s="6">
        <v>307894</v>
      </c>
      <c r="F295" s="1">
        <v>44699</v>
      </c>
      <c r="G295" s="11">
        <v>1</v>
      </c>
    </row>
    <row r="296" spans="1:7" x14ac:dyDescent="0.25">
      <c r="A296" s="6">
        <v>307897</v>
      </c>
      <c r="B296" s="1">
        <v>44593</v>
      </c>
      <c r="C296" s="11">
        <v>6</v>
      </c>
      <c r="E296" s="6">
        <v>307897</v>
      </c>
      <c r="F296" s="1">
        <v>44593</v>
      </c>
      <c r="G296" s="11">
        <v>6</v>
      </c>
    </row>
    <row r="297" spans="1:7" x14ac:dyDescent="0.25">
      <c r="A297" s="6">
        <v>307901</v>
      </c>
      <c r="B297" s="1">
        <v>44632</v>
      </c>
      <c r="C297" s="11">
        <v>5</v>
      </c>
      <c r="E297" s="6">
        <v>307901</v>
      </c>
      <c r="F297" s="1">
        <v>44632</v>
      </c>
      <c r="G297" s="11">
        <v>5</v>
      </c>
    </row>
    <row r="298" spans="1:7" x14ac:dyDescent="0.25">
      <c r="A298" s="6">
        <v>307903</v>
      </c>
      <c r="B298" s="1">
        <v>44856</v>
      </c>
      <c r="C298" s="11">
        <v>2</v>
      </c>
      <c r="E298" s="6">
        <v>307903</v>
      </c>
      <c r="F298" s="1">
        <v>44856</v>
      </c>
      <c r="G298" s="11">
        <v>2</v>
      </c>
    </row>
    <row r="299" spans="1:7" x14ac:dyDescent="0.25">
      <c r="A299" s="6">
        <v>307908</v>
      </c>
      <c r="B299" s="1">
        <v>44744</v>
      </c>
      <c r="C299" s="11">
        <v>1</v>
      </c>
      <c r="E299" s="6">
        <v>307908</v>
      </c>
      <c r="F299" s="1">
        <v>44744</v>
      </c>
      <c r="G299" s="11">
        <v>1</v>
      </c>
    </row>
    <row r="300" spans="1:7" x14ac:dyDescent="0.25">
      <c r="A300" s="6">
        <v>307911</v>
      </c>
      <c r="B300" s="1">
        <v>44575</v>
      </c>
      <c r="C300" s="11">
        <v>3</v>
      </c>
      <c r="E300" s="6">
        <v>307911</v>
      </c>
      <c r="F300" s="1">
        <v>44575</v>
      </c>
      <c r="G300" s="11">
        <v>3</v>
      </c>
    </row>
    <row r="301" spans="1:7" x14ac:dyDescent="0.25">
      <c r="A301" s="6">
        <v>307915</v>
      </c>
      <c r="B301" s="1">
        <v>44803</v>
      </c>
      <c r="C301" s="11">
        <v>5</v>
      </c>
      <c r="E301" s="6">
        <v>307915</v>
      </c>
      <c r="F301" s="1">
        <v>44803</v>
      </c>
      <c r="G301" s="11">
        <v>5</v>
      </c>
    </row>
    <row r="302" spans="1:7" x14ac:dyDescent="0.25">
      <c r="A302" s="6">
        <v>307916</v>
      </c>
      <c r="B302" s="1">
        <v>44730</v>
      </c>
      <c r="C302" s="11">
        <v>6</v>
      </c>
      <c r="E302" s="6">
        <v>307916</v>
      </c>
      <c r="F302" s="1">
        <v>44730</v>
      </c>
      <c r="G302" s="11">
        <v>6</v>
      </c>
    </row>
    <row r="303" spans="1:7" x14ac:dyDescent="0.25">
      <c r="A303" s="6">
        <v>307920</v>
      </c>
      <c r="B303" s="1">
        <v>44664</v>
      </c>
      <c r="C303" s="11">
        <v>4</v>
      </c>
      <c r="E303" s="6">
        <v>307920</v>
      </c>
      <c r="F303" s="1">
        <v>44664</v>
      </c>
      <c r="G303" s="11">
        <v>4</v>
      </c>
    </row>
    <row r="304" spans="1:7" x14ac:dyDescent="0.25">
      <c r="A304" s="6">
        <v>307922</v>
      </c>
      <c r="B304" s="1">
        <v>44642</v>
      </c>
      <c r="C304" s="11">
        <v>1</v>
      </c>
      <c r="E304" s="6">
        <v>307922</v>
      </c>
      <c r="F304" s="1">
        <v>44642</v>
      </c>
      <c r="G304" s="11">
        <v>1</v>
      </c>
    </row>
    <row r="305" spans="1:7" x14ac:dyDescent="0.25">
      <c r="A305" s="6">
        <v>307923</v>
      </c>
      <c r="B305" s="1">
        <v>44722</v>
      </c>
      <c r="C305" s="11">
        <v>2</v>
      </c>
      <c r="E305" s="6">
        <v>307923</v>
      </c>
      <c r="F305" s="1">
        <v>44722</v>
      </c>
      <c r="G305" s="11">
        <v>2</v>
      </c>
    </row>
    <row r="306" spans="1:7" x14ac:dyDescent="0.25">
      <c r="A306" s="6">
        <v>307928</v>
      </c>
      <c r="B306" s="1">
        <v>44607</v>
      </c>
      <c r="C306" s="11">
        <v>6</v>
      </c>
      <c r="E306" s="6">
        <v>307928</v>
      </c>
      <c r="F306" s="1">
        <v>44607</v>
      </c>
      <c r="G306" s="11">
        <v>6</v>
      </c>
    </row>
    <row r="307" spans="1:7" x14ac:dyDescent="0.25">
      <c r="A307" s="6">
        <v>307932</v>
      </c>
      <c r="B307" s="1">
        <v>44724</v>
      </c>
      <c r="C307" s="11">
        <v>7</v>
      </c>
      <c r="E307" s="6">
        <v>307932</v>
      </c>
      <c r="F307" s="1">
        <v>44724</v>
      </c>
      <c r="G307" s="11">
        <v>7</v>
      </c>
    </row>
    <row r="308" spans="1:7" x14ac:dyDescent="0.25">
      <c r="A308" s="6">
        <v>307937</v>
      </c>
      <c r="B308" s="1">
        <v>44611</v>
      </c>
      <c r="C308" s="11">
        <v>1</v>
      </c>
      <c r="E308" s="6">
        <v>307937</v>
      </c>
      <c r="F308" s="1">
        <v>44611</v>
      </c>
      <c r="G308" s="11">
        <v>1</v>
      </c>
    </row>
    <row r="309" spans="1:7" x14ac:dyDescent="0.25">
      <c r="A309" s="6">
        <v>307939</v>
      </c>
      <c r="B309" s="1">
        <v>44704</v>
      </c>
      <c r="C309" s="11">
        <v>2</v>
      </c>
      <c r="E309" s="6">
        <v>307939</v>
      </c>
      <c r="F309" s="1">
        <v>44704</v>
      </c>
      <c r="G309" s="11">
        <v>2</v>
      </c>
    </row>
    <row r="310" spans="1:7" x14ac:dyDescent="0.25">
      <c r="A310" s="6">
        <v>307940</v>
      </c>
      <c r="B310" s="1">
        <v>44723</v>
      </c>
      <c r="C310" s="11">
        <v>1</v>
      </c>
      <c r="E310" s="6">
        <v>307940</v>
      </c>
      <c r="F310" s="1">
        <v>44723</v>
      </c>
      <c r="G310" s="11">
        <v>1</v>
      </c>
    </row>
    <row r="311" spans="1:7" x14ac:dyDescent="0.25">
      <c r="A311" s="6">
        <v>307941</v>
      </c>
      <c r="B311" s="1">
        <v>44861</v>
      </c>
      <c r="C311" s="11">
        <v>3</v>
      </c>
      <c r="E311" s="6">
        <v>307941</v>
      </c>
      <c r="F311" s="1">
        <v>44861</v>
      </c>
      <c r="G311" s="11">
        <v>3</v>
      </c>
    </row>
    <row r="312" spans="1:7" x14ac:dyDescent="0.25">
      <c r="A312" s="6">
        <v>307942</v>
      </c>
      <c r="B312" s="1">
        <v>44703</v>
      </c>
      <c r="C312" s="11">
        <v>1</v>
      </c>
      <c r="E312" s="6">
        <v>307942</v>
      </c>
      <c r="F312" s="1">
        <v>44703</v>
      </c>
      <c r="G312" s="11">
        <v>1</v>
      </c>
    </row>
    <row r="313" spans="1:7" x14ac:dyDescent="0.25">
      <c r="A313" s="6">
        <v>307946</v>
      </c>
      <c r="B313" s="1">
        <v>44825</v>
      </c>
      <c r="C313" s="11">
        <v>3</v>
      </c>
      <c r="E313" s="6">
        <v>307946</v>
      </c>
      <c r="F313" s="1">
        <v>44825</v>
      </c>
      <c r="G313" s="11">
        <v>3</v>
      </c>
    </row>
    <row r="314" spans="1:7" x14ac:dyDescent="0.25">
      <c r="A314" s="6">
        <v>307949</v>
      </c>
      <c r="B314" s="1">
        <v>44758</v>
      </c>
      <c r="C314" s="11">
        <v>3</v>
      </c>
      <c r="E314" s="6">
        <v>307949</v>
      </c>
      <c r="F314" s="1">
        <v>44758</v>
      </c>
      <c r="G314" s="11">
        <v>3</v>
      </c>
    </row>
    <row r="315" spans="1:7" x14ac:dyDescent="0.25">
      <c r="A315" s="6">
        <v>307954</v>
      </c>
      <c r="B315" s="1">
        <v>44827</v>
      </c>
      <c r="C315" s="11">
        <v>3</v>
      </c>
      <c r="E315" s="6">
        <v>307954</v>
      </c>
      <c r="F315" s="1">
        <v>44827</v>
      </c>
      <c r="G315" s="11">
        <v>3</v>
      </c>
    </row>
    <row r="316" spans="1:7" x14ac:dyDescent="0.25">
      <c r="A316" s="6">
        <v>307957</v>
      </c>
      <c r="B316" s="1">
        <v>44823</v>
      </c>
      <c r="C316" s="11">
        <v>5</v>
      </c>
      <c r="E316" s="6">
        <v>307957</v>
      </c>
      <c r="F316" s="1">
        <v>44823</v>
      </c>
      <c r="G316" s="11">
        <v>5</v>
      </c>
    </row>
    <row r="317" spans="1:7" x14ac:dyDescent="0.25">
      <c r="A317" s="6">
        <v>307962</v>
      </c>
      <c r="B317" s="1">
        <v>44622</v>
      </c>
      <c r="C317" s="11">
        <v>1</v>
      </c>
      <c r="E317" s="6">
        <v>307962</v>
      </c>
      <c r="F317" s="1">
        <v>44622</v>
      </c>
      <c r="G317" s="11">
        <v>1</v>
      </c>
    </row>
    <row r="318" spans="1:7" x14ac:dyDescent="0.25">
      <c r="A318" s="6">
        <v>307964</v>
      </c>
      <c r="B318" s="1">
        <v>44704</v>
      </c>
      <c r="C318" s="11">
        <v>2</v>
      </c>
      <c r="E318" s="6">
        <v>307964</v>
      </c>
      <c r="F318" s="1">
        <v>44704</v>
      </c>
      <c r="G318" s="11">
        <v>2</v>
      </c>
    </row>
    <row r="319" spans="1:7" x14ac:dyDescent="0.25">
      <c r="A319" s="6">
        <v>307969</v>
      </c>
      <c r="B319" s="1">
        <v>44688</v>
      </c>
      <c r="C319" s="11">
        <v>1</v>
      </c>
      <c r="E319" s="6">
        <v>307969</v>
      </c>
      <c r="F319" s="1">
        <v>44688</v>
      </c>
      <c r="G319" s="11">
        <v>1</v>
      </c>
    </row>
    <row r="320" spans="1:7" x14ac:dyDescent="0.25">
      <c r="A320" s="6">
        <v>307971</v>
      </c>
      <c r="B320" s="1">
        <v>44755</v>
      </c>
      <c r="C320" s="11">
        <v>1</v>
      </c>
      <c r="E320" s="6">
        <v>307971</v>
      </c>
      <c r="F320" s="1">
        <v>44755</v>
      </c>
      <c r="G320" s="11">
        <v>1</v>
      </c>
    </row>
    <row r="321" spans="1:7" x14ac:dyDescent="0.25">
      <c r="A321" s="6">
        <v>307972</v>
      </c>
      <c r="B321" s="1">
        <v>44582</v>
      </c>
      <c r="C321" s="11">
        <v>1</v>
      </c>
      <c r="E321" s="6">
        <v>307972</v>
      </c>
      <c r="F321" s="1">
        <v>44582</v>
      </c>
      <c r="G321" s="11">
        <v>1</v>
      </c>
    </row>
    <row r="322" spans="1:7" x14ac:dyDescent="0.25">
      <c r="A322" s="6">
        <v>307976</v>
      </c>
      <c r="B322" s="1">
        <v>44631</v>
      </c>
      <c r="C322" s="11">
        <v>3</v>
      </c>
      <c r="E322" s="6">
        <v>307976</v>
      </c>
      <c r="F322" s="1">
        <v>44631</v>
      </c>
      <c r="G322" s="11">
        <v>3</v>
      </c>
    </row>
    <row r="323" spans="1:7" x14ac:dyDescent="0.25">
      <c r="A323" s="6">
        <v>307979</v>
      </c>
      <c r="B323" s="1">
        <v>44646</v>
      </c>
      <c r="C323" s="11">
        <v>5</v>
      </c>
      <c r="E323" s="6">
        <v>307979</v>
      </c>
      <c r="F323" s="1">
        <v>44646</v>
      </c>
      <c r="G323" s="11">
        <v>5</v>
      </c>
    </row>
    <row r="324" spans="1:7" x14ac:dyDescent="0.25">
      <c r="A324" s="6">
        <v>307983</v>
      </c>
      <c r="B324" s="1">
        <v>44722</v>
      </c>
      <c r="C324" s="11">
        <v>3</v>
      </c>
      <c r="E324" s="6">
        <v>307983</v>
      </c>
      <c r="F324" s="1">
        <v>44722</v>
      </c>
      <c r="G324" s="11">
        <v>3</v>
      </c>
    </row>
    <row r="325" spans="1:7" x14ac:dyDescent="0.25">
      <c r="A325" s="6">
        <v>307985</v>
      </c>
      <c r="B325" s="1">
        <v>44748</v>
      </c>
      <c r="C325" s="11">
        <v>2</v>
      </c>
      <c r="E325" s="6">
        <v>307985</v>
      </c>
      <c r="F325" s="1">
        <v>44748</v>
      </c>
      <c r="G325" s="11">
        <v>2</v>
      </c>
    </row>
    <row r="326" spans="1:7" x14ac:dyDescent="0.25">
      <c r="A326" s="6">
        <v>307986</v>
      </c>
      <c r="B326" s="1">
        <v>44841</v>
      </c>
      <c r="C326" s="11">
        <v>2</v>
      </c>
      <c r="E326" s="6">
        <v>307986</v>
      </c>
      <c r="F326" s="1">
        <v>44841</v>
      </c>
      <c r="G326" s="11">
        <v>2</v>
      </c>
    </row>
    <row r="327" spans="1:7" x14ac:dyDescent="0.25">
      <c r="A327" s="6">
        <v>307988</v>
      </c>
      <c r="B327" s="1">
        <v>44738</v>
      </c>
      <c r="C327" s="11">
        <v>3</v>
      </c>
      <c r="E327" s="6">
        <v>307988</v>
      </c>
      <c r="F327" s="1">
        <v>44738</v>
      </c>
      <c r="G327" s="11">
        <v>3</v>
      </c>
    </row>
    <row r="328" spans="1:7" x14ac:dyDescent="0.25">
      <c r="A328" s="6">
        <v>307990</v>
      </c>
      <c r="B328" s="1">
        <v>44858</v>
      </c>
      <c r="C328" s="11">
        <v>1</v>
      </c>
      <c r="E328" s="6">
        <v>307990</v>
      </c>
      <c r="F328" s="1">
        <v>44858</v>
      </c>
      <c r="G328" s="11">
        <v>1</v>
      </c>
    </row>
    <row r="329" spans="1:7" x14ac:dyDescent="0.25">
      <c r="A329" s="6">
        <v>307993</v>
      </c>
      <c r="B329" s="1">
        <v>44629</v>
      </c>
      <c r="C329" s="11">
        <v>1</v>
      </c>
      <c r="E329" s="6">
        <v>307993</v>
      </c>
      <c r="F329" s="1">
        <v>44629</v>
      </c>
      <c r="G329" s="11">
        <v>1</v>
      </c>
    </row>
    <row r="330" spans="1:7" x14ac:dyDescent="0.25">
      <c r="A330" s="6">
        <v>307998</v>
      </c>
      <c r="B330" s="1">
        <v>44603</v>
      </c>
      <c r="C330" s="11">
        <v>2</v>
      </c>
      <c r="E330" s="6">
        <v>307998</v>
      </c>
      <c r="F330" s="1">
        <v>44603</v>
      </c>
      <c r="G330" s="11">
        <v>2</v>
      </c>
    </row>
    <row r="331" spans="1:7" x14ac:dyDescent="0.25">
      <c r="A331" s="6">
        <v>308000</v>
      </c>
      <c r="B331" s="1">
        <v>44794</v>
      </c>
      <c r="C331" s="11">
        <v>6</v>
      </c>
      <c r="E331" s="6">
        <v>308000</v>
      </c>
      <c r="F331" s="1">
        <v>44794</v>
      </c>
      <c r="G331" s="11">
        <v>6</v>
      </c>
    </row>
    <row r="332" spans="1:7" x14ac:dyDescent="0.25">
      <c r="A332" s="6">
        <v>308001</v>
      </c>
      <c r="B332" s="1">
        <v>44739</v>
      </c>
      <c r="C332" s="11">
        <v>2</v>
      </c>
      <c r="E332" s="6">
        <v>308001</v>
      </c>
      <c r="F332" s="1">
        <v>44739</v>
      </c>
      <c r="G332" s="11">
        <v>2</v>
      </c>
    </row>
    <row r="333" spans="1:7" x14ac:dyDescent="0.25">
      <c r="A333" s="6">
        <v>308004</v>
      </c>
      <c r="B333" s="1">
        <v>44592</v>
      </c>
      <c r="C333" s="11">
        <v>3</v>
      </c>
      <c r="E333" s="6">
        <v>308004</v>
      </c>
      <c r="F333" s="1">
        <v>44592</v>
      </c>
      <c r="G333" s="11">
        <v>3</v>
      </c>
    </row>
    <row r="334" spans="1:7" x14ac:dyDescent="0.25">
      <c r="A334" s="6">
        <v>308008</v>
      </c>
      <c r="B334" s="1">
        <v>44633</v>
      </c>
      <c r="C334" s="11">
        <v>2</v>
      </c>
      <c r="E334" s="6">
        <v>308008</v>
      </c>
      <c r="F334" s="1">
        <v>44633</v>
      </c>
      <c r="G334" s="11">
        <v>2</v>
      </c>
    </row>
    <row r="335" spans="1:7" x14ac:dyDescent="0.25">
      <c r="A335" s="6">
        <v>308011</v>
      </c>
      <c r="B335" s="1">
        <v>44579</v>
      </c>
      <c r="C335" s="11">
        <v>5</v>
      </c>
      <c r="E335" s="6">
        <v>308011</v>
      </c>
      <c r="F335" s="1">
        <v>44579</v>
      </c>
      <c r="G335" s="11">
        <v>5</v>
      </c>
    </row>
    <row r="336" spans="1:7" x14ac:dyDescent="0.25">
      <c r="A336" s="6">
        <v>308013</v>
      </c>
      <c r="B336" s="1">
        <v>44851</v>
      </c>
      <c r="C336" s="11">
        <v>4</v>
      </c>
      <c r="E336" s="6">
        <v>308013</v>
      </c>
      <c r="F336" s="1">
        <v>44851</v>
      </c>
      <c r="G336" s="11">
        <v>4</v>
      </c>
    </row>
    <row r="337" spans="1:7" x14ac:dyDescent="0.25">
      <c r="A337" s="6">
        <v>308018</v>
      </c>
      <c r="B337" s="1">
        <v>44633</v>
      </c>
      <c r="C337" s="11">
        <v>5</v>
      </c>
      <c r="E337" s="6">
        <v>308018</v>
      </c>
      <c r="F337" s="1">
        <v>44633</v>
      </c>
      <c r="G337" s="11">
        <v>5</v>
      </c>
    </row>
    <row r="338" spans="1:7" x14ac:dyDescent="0.25">
      <c r="A338" s="6">
        <v>308023</v>
      </c>
      <c r="B338" s="1">
        <v>44798</v>
      </c>
      <c r="C338" s="11">
        <v>1</v>
      </c>
      <c r="E338" s="6">
        <v>308023</v>
      </c>
      <c r="F338" s="1">
        <v>44798</v>
      </c>
      <c r="G338" s="11">
        <v>1</v>
      </c>
    </row>
    <row r="339" spans="1:7" x14ac:dyDescent="0.25">
      <c r="A339" s="6">
        <v>308024</v>
      </c>
      <c r="B339" s="1">
        <v>44671</v>
      </c>
      <c r="C339" s="11">
        <v>1</v>
      </c>
      <c r="E339" s="6">
        <v>308024</v>
      </c>
      <c r="F339" s="1">
        <v>44671</v>
      </c>
      <c r="G339" s="11">
        <v>1</v>
      </c>
    </row>
    <row r="340" spans="1:7" x14ac:dyDescent="0.25">
      <c r="A340" s="6">
        <v>308029</v>
      </c>
      <c r="B340" s="1">
        <v>44592</v>
      </c>
      <c r="C340" s="11">
        <v>3</v>
      </c>
      <c r="E340" s="6">
        <v>308029</v>
      </c>
      <c r="F340" s="1">
        <v>44592</v>
      </c>
      <c r="G340" s="11">
        <v>3</v>
      </c>
    </row>
    <row r="341" spans="1:7" x14ac:dyDescent="0.25">
      <c r="A341" s="6">
        <v>308032</v>
      </c>
      <c r="B341" s="1">
        <v>44696</v>
      </c>
      <c r="C341" s="11">
        <v>2</v>
      </c>
      <c r="E341" s="6">
        <v>308032</v>
      </c>
      <c r="F341" s="1">
        <v>44696</v>
      </c>
      <c r="G341" s="11">
        <v>2</v>
      </c>
    </row>
    <row r="342" spans="1:7" x14ac:dyDescent="0.25">
      <c r="A342" s="6">
        <v>308035</v>
      </c>
      <c r="B342" s="1">
        <v>44605</v>
      </c>
      <c r="C342" s="11">
        <v>1</v>
      </c>
      <c r="E342" s="6">
        <v>308035</v>
      </c>
      <c r="F342" s="1">
        <v>44605</v>
      </c>
      <c r="G342" s="11">
        <v>1</v>
      </c>
    </row>
    <row r="343" spans="1:7" x14ac:dyDescent="0.25">
      <c r="A343" s="6">
        <v>308040</v>
      </c>
      <c r="B343" s="1">
        <v>44613</v>
      </c>
      <c r="C343" s="11">
        <v>3</v>
      </c>
      <c r="E343" s="6">
        <v>308040</v>
      </c>
      <c r="F343" s="1">
        <v>44613</v>
      </c>
      <c r="G343" s="11">
        <v>3</v>
      </c>
    </row>
    <row r="344" spans="1:7" x14ac:dyDescent="0.25">
      <c r="A344" s="6">
        <v>308041</v>
      </c>
      <c r="B344" s="1">
        <v>44716</v>
      </c>
      <c r="C344" s="11">
        <v>2</v>
      </c>
      <c r="E344" s="6">
        <v>308041</v>
      </c>
      <c r="F344" s="1">
        <v>44716</v>
      </c>
      <c r="G344" s="11">
        <v>2</v>
      </c>
    </row>
    <row r="345" spans="1:7" x14ac:dyDescent="0.25">
      <c r="A345" s="6">
        <v>308046</v>
      </c>
      <c r="B345" s="1">
        <v>44839</v>
      </c>
      <c r="C345" s="11">
        <v>4</v>
      </c>
      <c r="E345" s="6">
        <v>308046</v>
      </c>
      <c r="F345" s="1">
        <v>44839</v>
      </c>
      <c r="G345" s="11">
        <v>4</v>
      </c>
    </row>
    <row r="346" spans="1:7" x14ac:dyDescent="0.25">
      <c r="A346" s="6">
        <v>308048</v>
      </c>
      <c r="B346" s="1">
        <v>44769</v>
      </c>
      <c r="C346" s="11">
        <v>2</v>
      </c>
      <c r="E346" s="6">
        <v>308048</v>
      </c>
      <c r="F346" s="1">
        <v>44769</v>
      </c>
      <c r="G346" s="11">
        <v>2</v>
      </c>
    </row>
    <row r="347" spans="1:7" x14ac:dyDescent="0.25">
      <c r="A347" s="6">
        <v>308050</v>
      </c>
      <c r="B347" s="1">
        <v>44777</v>
      </c>
      <c r="C347" s="11">
        <v>1</v>
      </c>
      <c r="E347" s="6">
        <v>308050</v>
      </c>
      <c r="F347" s="1">
        <v>44777</v>
      </c>
      <c r="G347" s="11">
        <v>1</v>
      </c>
    </row>
    <row r="348" spans="1:7" x14ac:dyDescent="0.25">
      <c r="A348" s="6">
        <v>308051</v>
      </c>
      <c r="B348" s="1">
        <v>44572</v>
      </c>
      <c r="C348" s="11">
        <v>5</v>
      </c>
      <c r="E348" s="6">
        <v>308051</v>
      </c>
      <c r="F348" s="1">
        <v>44572</v>
      </c>
      <c r="G348" s="11">
        <v>5</v>
      </c>
    </row>
    <row r="349" spans="1:7" x14ac:dyDescent="0.25">
      <c r="A349" s="6">
        <v>308055</v>
      </c>
      <c r="B349" s="1">
        <v>44757</v>
      </c>
      <c r="C349" s="11">
        <v>3</v>
      </c>
      <c r="E349" s="6">
        <v>308055</v>
      </c>
      <c r="F349" s="1">
        <v>44757</v>
      </c>
      <c r="G349" s="11">
        <v>3</v>
      </c>
    </row>
    <row r="350" spans="1:7" x14ac:dyDescent="0.25">
      <c r="A350" s="6">
        <v>308059</v>
      </c>
      <c r="B350" s="1">
        <v>44733</v>
      </c>
      <c r="C350" s="11">
        <v>3</v>
      </c>
      <c r="E350" s="6">
        <v>308059</v>
      </c>
      <c r="F350" s="1">
        <v>44733</v>
      </c>
      <c r="G350" s="11">
        <v>3</v>
      </c>
    </row>
    <row r="351" spans="1:7" x14ac:dyDescent="0.25">
      <c r="A351" s="6">
        <v>308063</v>
      </c>
      <c r="B351" s="1">
        <v>44614</v>
      </c>
      <c r="C351" s="11">
        <v>4</v>
      </c>
      <c r="E351" s="6">
        <v>308063</v>
      </c>
      <c r="F351" s="1">
        <v>44614</v>
      </c>
      <c r="G351" s="11">
        <v>4</v>
      </c>
    </row>
    <row r="352" spans="1:7" x14ac:dyDescent="0.25">
      <c r="A352" s="6">
        <v>308066</v>
      </c>
      <c r="B352" s="1">
        <v>44615</v>
      </c>
      <c r="C352" s="11">
        <v>2</v>
      </c>
      <c r="E352" s="6">
        <v>308066</v>
      </c>
      <c r="F352" s="1">
        <v>44615</v>
      </c>
      <c r="G352" s="11">
        <v>2</v>
      </c>
    </row>
    <row r="353" spans="1:7" x14ac:dyDescent="0.25">
      <c r="A353" s="6">
        <v>308067</v>
      </c>
      <c r="B353" s="1">
        <v>44700</v>
      </c>
      <c r="C353" s="11">
        <v>1</v>
      </c>
      <c r="E353" s="6">
        <v>308067</v>
      </c>
      <c r="F353" s="1">
        <v>44700</v>
      </c>
      <c r="G353" s="11">
        <v>1</v>
      </c>
    </row>
    <row r="354" spans="1:7" x14ac:dyDescent="0.25">
      <c r="A354" s="6">
        <v>308068</v>
      </c>
      <c r="B354" s="1">
        <v>44675</v>
      </c>
      <c r="C354" s="11">
        <v>1</v>
      </c>
      <c r="E354" s="6">
        <v>308068</v>
      </c>
      <c r="F354" s="1">
        <v>44675</v>
      </c>
      <c r="G354" s="11">
        <v>1</v>
      </c>
    </row>
    <row r="355" spans="1:7" x14ac:dyDescent="0.25">
      <c r="A355" s="6">
        <v>308073</v>
      </c>
      <c r="B355" s="1">
        <v>44741</v>
      </c>
      <c r="C355" s="11">
        <v>6</v>
      </c>
      <c r="E355" s="6">
        <v>308073</v>
      </c>
      <c r="F355" s="1">
        <v>44741</v>
      </c>
      <c r="G355" s="11">
        <v>6</v>
      </c>
    </row>
    <row r="356" spans="1:7" x14ac:dyDescent="0.25">
      <c r="A356" s="6">
        <v>308077</v>
      </c>
      <c r="B356" s="1">
        <v>44658</v>
      </c>
      <c r="C356" s="11">
        <v>5</v>
      </c>
      <c r="E356" s="6">
        <v>308077</v>
      </c>
      <c r="F356" s="1">
        <v>44658</v>
      </c>
      <c r="G356" s="11">
        <v>5</v>
      </c>
    </row>
    <row r="357" spans="1:7" x14ac:dyDescent="0.25">
      <c r="A357" s="6">
        <v>308082</v>
      </c>
      <c r="B357" s="1">
        <v>44817</v>
      </c>
      <c r="C357" s="11">
        <v>1</v>
      </c>
      <c r="E357" s="6">
        <v>308082</v>
      </c>
      <c r="F357" s="1">
        <v>44817</v>
      </c>
      <c r="G357" s="11">
        <v>1</v>
      </c>
    </row>
    <row r="358" spans="1:7" x14ac:dyDescent="0.25">
      <c r="A358" s="6">
        <v>308084</v>
      </c>
      <c r="B358" s="1">
        <v>44641</v>
      </c>
      <c r="C358" s="11">
        <v>1</v>
      </c>
      <c r="E358" s="6">
        <v>308084</v>
      </c>
      <c r="F358" s="1">
        <v>44641</v>
      </c>
      <c r="G358" s="11">
        <v>1</v>
      </c>
    </row>
    <row r="359" spans="1:7" x14ac:dyDescent="0.25">
      <c r="A359" s="6">
        <v>308085</v>
      </c>
      <c r="B359" s="1">
        <v>44627</v>
      </c>
      <c r="C359" s="11">
        <v>4</v>
      </c>
      <c r="E359" s="6">
        <v>308085</v>
      </c>
      <c r="F359" s="1">
        <v>44627</v>
      </c>
      <c r="G359" s="11">
        <v>4</v>
      </c>
    </row>
    <row r="360" spans="1:7" x14ac:dyDescent="0.25">
      <c r="A360" s="6">
        <v>308086</v>
      </c>
      <c r="B360" s="1">
        <v>44656</v>
      </c>
      <c r="C360" s="11">
        <v>3</v>
      </c>
      <c r="E360" s="6">
        <v>308086</v>
      </c>
      <c r="F360" s="1">
        <v>44656</v>
      </c>
      <c r="G360" s="11">
        <v>3</v>
      </c>
    </row>
    <row r="361" spans="1:7" x14ac:dyDescent="0.25">
      <c r="A361" s="6">
        <v>308089</v>
      </c>
      <c r="B361" s="1">
        <v>44633</v>
      </c>
      <c r="C361" s="11">
        <v>3</v>
      </c>
      <c r="E361" s="6">
        <v>308089</v>
      </c>
      <c r="F361" s="1">
        <v>44633</v>
      </c>
      <c r="G361" s="11">
        <v>3</v>
      </c>
    </row>
    <row r="362" spans="1:7" x14ac:dyDescent="0.25">
      <c r="A362" s="6">
        <v>308090</v>
      </c>
      <c r="B362" s="1">
        <v>44758</v>
      </c>
      <c r="C362" s="11">
        <v>5</v>
      </c>
      <c r="E362" s="6">
        <v>308090</v>
      </c>
      <c r="F362" s="1">
        <v>44758</v>
      </c>
      <c r="G362" s="11">
        <v>5</v>
      </c>
    </row>
    <row r="363" spans="1:7" x14ac:dyDescent="0.25">
      <c r="A363" s="6">
        <v>308095</v>
      </c>
      <c r="B363" s="1">
        <v>44634</v>
      </c>
      <c r="C363" s="11">
        <v>3</v>
      </c>
      <c r="E363" s="6">
        <v>308095</v>
      </c>
      <c r="F363" s="1">
        <v>44634</v>
      </c>
      <c r="G363" s="11">
        <v>3</v>
      </c>
    </row>
    <row r="364" spans="1:7" x14ac:dyDescent="0.25">
      <c r="A364" s="6">
        <v>308100</v>
      </c>
      <c r="B364" s="1">
        <v>44650</v>
      </c>
      <c r="C364" s="11">
        <v>2</v>
      </c>
      <c r="E364" s="6">
        <v>308100</v>
      </c>
      <c r="F364" s="1">
        <v>44650</v>
      </c>
      <c r="G364" s="11">
        <v>2</v>
      </c>
    </row>
    <row r="365" spans="1:7" x14ac:dyDescent="0.25">
      <c r="A365" s="6">
        <v>308101</v>
      </c>
      <c r="B365" s="1">
        <v>44610</v>
      </c>
      <c r="C365" s="11">
        <v>5</v>
      </c>
      <c r="E365" s="6">
        <v>308101</v>
      </c>
      <c r="F365" s="1">
        <v>44610</v>
      </c>
      <c r="G365" s="11">
        <v>5</v>
      </c>
    </row>
    <row r="366" spans="1:7" x14ac:dyDescent="0.25">
      <c r="A366" s="6">
        <v>308106</v>
      </c>
      <c r="B366" s="1">
        <v>44800</v>
      </c>
      <c r="C366" s="11">
        <v>2</v>
      </c>
      <c r="E366" s="6">
        <v>308106</v>
      </c>
      <c r="F366" s="1">
        <v>44800</v>
      </c>
      <c r="G366" s="11">
        <v>2</v>
      </c>
    </row>
    <row r="367" spans="1:7" x14ac:dyDescent="0.25">
      <c r="A367" s="6">
        <v>308111</v>
      </c>
      <c r="B367" s="1">
        <v>44614</v>
      </c>
      <c r="C367" s="11">
        <v>1</v>
      </c>
      <c r="E367" s="6">
        <v>308111</v>
      </c>
      <c r="F367" s="1">
        <v>44614</v>
      </c>
      <c r="G367" s="11">
        <v>1</v>
      </c>
    </row>
    <row r="368" spans="1:7" x14ac:dyDescent="0.25">
      <c r="A368" s="6">
        <v>308116</v>
      </c>
      <c r="B368" s="1">
        <v>44678</v>
      </c>
      <c r="C368" s="11">
        <v>3</v>
      </c>
      <c r="E368" s="6">
        <v>308116</v>
      </c>
      <c r="F368" s="1">
        <v>44678</v>
      </c>
      <c r="G368" s="11">
        <v>3</v>
      </c>
    </row>
    <row r="369" spans="1:7" x14ac:dyDescent="0.25">
      <c r="A369" s="6">
        <v>308118</v>
      </c>
      <c r="B369" s="1">
        <v>44830</v>
      </c>
      <c r="C369" s="11">
        <v>5</v>
      </c>
      <c r="E369" s="6">
        <v>308118</v>
      </c>
      <c r="F369" s="1">
        <v>44830</v>
      </c>
      <c r="G369" s="11">
        <v>5</v>
      </c>
    </row>
    <row r="370" spans="1:7" x14ac:dyDescent="0.25">
      <c r="A370" s="6">
        <v>308122</v>
      </c>
      <c r="B370" s="1">
        <v>44791</v>
      </c>
      <c r="C370" s="11">
        <v>1</v>
      </c>
      <c r="E370" s="6">
        <v>308122</v>
      </c>
      <c r="F370" s="1">
        <v>44791</v>
      </c>
      <c r="G370" s="11">
        <v>1</v>
      </c>
    </row>
    <row r="371" spans="1:7" x14ac:dyDescent="0.25">
      <c r="A371" s="6">
        <v>308127</v>
      </c>
      <c r="B371" s="1">
        <v>44664</v>
      </c>
      <c r="C371" s="11">
        <v>2</v>
      </c>
      <c r="E371" s="6">
        <v>308127</v>
      </c>
      <c r="F371" s="1">
        <v>44664</v>
      </c>
      <c r="G371" s="11">
        <v>2</v>
      </c>
    </row>
    <row r="372" spans="1:7" x14ac:dyDescent="0.25">
      <c r="A372" s="6">
        <v>308129</v>
      </c>
      <c r="B372" s="1">
        <v>44862</v>
      </c>
      <c r="C372" s="11">
        <v>3</v>
      </c>
      <c r="E372" s="6">
        <v>308129</v>
      </c>
      <c r="F372" s="1">
        <v>44862</v>
      </c>
      <c r="G372" s="11">
        <v>3</v>
      </c>
    </row>
    <row r="373" spans="1:7" x14ac:dyDescent="0.25">
      <c r="A373" s="6">
        <v>308133</v>
      </c>
      <c r="B373" s="1">
        <v>44780</v>
      </c>
      <c r="C373" s="11">
        <v>3</v>
      </c>
      <c r="E373" s="6">
        <v>308133</v>
      </c>
      <c r="F373" s="1">
        <v>44780</v>
      </c>
      <c r="G373" s="11">
        <v>3</v>
      </c>
    </row>
    <row r="374" spans="1:7" x14ac:dyDescent="0.25">
      <c r="A374" s="6">
        <v>308138</v>
      </c>
      <c r="B374" s="1">
        <v>44784</v>
      </c>
      <c r="C374" s="11">
        <v>2</v>
      </c>
      <c r="E374" s="6">
        <v>308138</v>
      </c>
      <c r="F374" s="1">
        <v>44784</v>
      </c>
      <c r="G374" s="11">
        <v>2</v>
      </c>
    </row>
    <row r="375" spans="1:7" x14ac:dyDescent="0.25">
      <c r="A375" s="6">
        <v>308141</v>
      </c>
      <c r="B375" s="1">
        <v>44770</v>
      </c>
      <c r="C375" s="11">
        <v>1</v>
      </c>
      <c r="E375" s="6">
        <v>308141</v>
      </c>
      <c r="F375" s="1">
        <v>44770</v>
      </c>
      <c r="G375" s="11">
        <v>1</v>
      </c>
    </row>
    <row r="376" spans="1:7" x14ac:dyDescent="0.25">
      <c r="A376" s="6">
        <v>308143</v>
      </c>
      <c r="B376" s="1">
        <v>44620</v>
      </c>
      <c r="C376" s="11">
        <v>2</v>
      </c>
      <c r="E376" s="6">
        <v>308143</v>
      </c>
      <c r="F376" s="1">
        <v>44620</v>
      </c>
      <c r="G376" s="11">
        <v>2</v>
      </c>
    </row>
    <row r="377" spans="1:7" x14ac:dyDescent="0.25">
      <c r="A377" s="6">
        <v>308144</v>
      </c>
      <c r="B377" s="1">
        <v>44565</v>
      </c>
      <c r="C377" s="11">
        <v>2</v>
      </c>
      <c r="E377" s="6">
        <v>308144</v>
      </c>
      <c r="F377" s="1">
        <v>44565</v>
      </c>
      <c r="G377" s="11">
        <v>2</v>
      </c>
    </row>
    <row r="378" spans="1:7" x14ac:dyDescent="0.25">
      <c r="A378" s="6">
        <v>308147</v>
      </c>
      <c r="B378" s="1">
        <v>44821</v>
      </c>
      <c r="C378" s="11">
        <v>1</v>
      </c>
      <c r="E378" s="6">
        <v>308147</v>
      </c>
      <c r="F378" s="1">
        <v>44821</v>
      </c>
      <c r="G378" s="11">
        <v>1</v>
      </c>
    </row>
    <row r="379" spans="1:7" x14ac:dyDescent="0.25">
      <c r="A379" s="6">
        <v>308150</v>
      </c>
      <c r="B379" s="1">
        <v>44588</v>
      </c>
      <c r="C379" s="11">
        <v>2</v>
      </c>
      <c r="E379" s="6">
        <v>308150</v>
      </c>
      <c r="F379" s="1">
        <v>44588</v>
      </c>
      <c r="G379" s="11">
        <v>2</v>
      </c>
    </row>
    <row r="380" spans="1:7" x14ac:dyDescent="0.25">
      <c r="A380" s="6">
        <v>308155</v>
      </c>
      <c r="B380" s="1">
        <v>44638</v>
      </c>
      <c r="C380" s="11">
        <v>1</v>
      </c>
      <c r="E380" s="6">
        <v>308155</v>
      </c>
      <c r="F380" s="1">
        <v>44638</v>
      </c>
      <c r="G380" s="11">
        <v>1</v>
      </c>
    </row>
    <row r="381" spans="1:7" x14ac:dyDescent="0.25">
      <c r="A381" s="6">
        <v>308159</v>
      </c>
      <c r="B381" s="1">
        <v>44812</v>
      </c>
      <c r="C381" s="11">
        <v>1</v>
      </c>
      <c r="E381" s="6">
        <v>308159</v>
      </c>
      <c r="F381" s="1">
        <v>44812</v>
      </c>
      <c r="G381" s="11">
        <v>1</v>
      </c>
    </row>
    <row r="382" spans="1:7" x14ac:dyDescent="0.25">
      <c r="A382" s="6">
        <v>308160</v>
      </c>
      <c r="B382" s="1">
        <v>44565</v>
      </c>
      <c r="C382" s="11">
        <v>1</v>
      </c>
      <c r="E382" s="6">
        <v>308160</v>
      </c>
      <c r="F382" s="1">
        <v>44565</v>
      </c>
      <c r="G382" s="11">
        <v>1</v>
      </c>
    </row>
    <row r="383" spans="1:7" x14ac:dyDescent="0.25">
      <c r="A383" s="6">
        <v>308162</v>
      </c>
      <c r="B383" s="1">
        <v>44570</v>
      </c>
      <c r="C383" s="11">
        <v>2</v>
      </c>
      <c r="E383" s="6">
        <v>308162</v>
      </c>
      <c r="F383" s="1">
        <v>44570</v>
      </c>
      <c r="G383" s="11">
        <v>2</v>
      </c>
    </row>
    <row r="384" spans="1:7" x14ac:dyDescent="0.25">
      <c r="A384" s="6">
        <v>308163</v>
      </c>
      <c r="B384" s="1">
        <v>44730</v>
      </c>
      <c r="C384" s="11">
        <v>5</v>
      </c>
      <c r="E384" s="6">
        <v>308163</v>
      </c>
      <c r="F384" s="1">
        <v>44730</v>
      </c>
      <c r="G384" s="11">
        <v>5</v>
      </c>
    </row>
    <row r="385" spans="1:7" x14ac:dyDescent="0.25">
      <c r="A385" s="6">
        <v>308164</v>
      </c>
      <c r="B385" s="1">
        <v>44662</v>
      </c>
      <c r="C385" s="11">
        <v>2</v>
      </c>
      <c r="E385" s="6">
        <v>308164</v>
      </c>
      <c r="F385" s="1">
        <v>44662</v>
      </c>
      <c r="G385" s="11">
        <v>2</v>
      </c>
    </row>
    <row r="386" spans="1:7" x14ac:dyDescent="0.25">
      <c r="A386" s="6">
        <v>308169</v>
      </c>
      <c r="B386" s="1">
        <v>44794</v>
      </c>
      <c r="C386" s="11">
        <v>6</v>
      </c>
      <c r="E386" s="6">
        <v>308169</v>
      </c>
      <c r="F386" s="1">
        <v>44794</v>
      </c>
      <c r="G386" s="11">
        <v>6</v>
      </c>
    </row>
    <row r="387" spans="1:7" x14ac:dyDescent="0.25">
      <c r="A387" s="6">
        <v>308173</v>
      </c>
      <c r="B387" s="1">
        <v>44732</v>
      </c>
      <c r="C387" s="11">
        <v>4</v>
      </c>
      <c r="E387" s="6">
        <v>308173</v>
      </c>
      <c r="F387" s="1">
        <v>44732</v>
      </c>
      <c r="G387" s="11">
        <v>4</v>
      </c>
    </row>
    <row r="388" spans="1:7" x14ac:dyDescent="0.25">
      <c r="A388" s="6">
        <v>308175</v>
      </c>
      <c r="B388" s="1">
        <v>44598</v>
      </c>
      <c r="C388" s="11">
        <v>4</v>
      </c>
      <c r="E388" s="6">
        <v>308175</v>
      </c>
      <c r="F388" s="1">
        <v>44598</v>
      </c>
      <c r="G388" s="11">
        <v>4</v>
      </c>
    </row>
    <row r="389" spans="1:7" x14ac:dyDescent="0.25">
      <c r="A389" s="6">
        <v>308177</v>
      </c>
      <c r="B389" s="1">
        <v>44771</v>
      </c>
      <c r="C389" s="11">
        <v>4</v>
      </c>
      <c r="E389" s="6">
        <v>308177</v>
      </c>
      <c r="F389" s="1">
        <v>44771</v>
      </c>
      <c r="G389" s="11">
        <v>4</v>
      </c>
    </row>
    <row r="390" spans="1:7" x14ac:dyDescent="0.25">
      <c r="A390" s="6">
        <v>308179</v>
      </c>
      <c r="B390" s="1">
        <v>44744</v>
      </c>
      <c r="C390" s="11">
        <v>5</v>
      </c>
      <c r="E390" s="6">
        <v>308179</v>
      </c>
      <c r="F390" s="1">
        <v>44744</v>
      </c>
      <c r="G390" s="11">
        <v>5</v>
      </c>
    </row>
    <row r="391" spans="1:7" x14ac:dyDescent="0.25">
      <c r="A391" s="6">
        <v>308181</v>
      </c>
      <c r="B391" s="1">
        <v>44859</v>
      </c>
      <c r="C391" s="11">
        <v>1</v>
      </c>
      <c r="E391" s="6">
        <v>308181</v>
      </c>
      <c r="F391" s="1">
        <v>44859</v>
      </c>
      <c r="G391" s="11">
        <v>1</v>
      </c>
    </row>
    <row r="392" spans="1:7" x14ac:dyDescent="0.25">
      <c r="A392" s="6">
        <v>308185</v>
      </c>
      <c r="B392" s="1">
        <v>44612</v>
      </c>
      <c r="C392" s="11">
        <v>3</v>
      </c>
      <c r="E392" s="6">
        <v>308185</v>
      </c>
      <c r="F392" s="1">
        <v>44612</v>
      </c>
      <c r="G392" s="11">
        <v>3</v>
      </c>
    </row>
    <row r="393" spans="1:7" x14ac:dyDescent="0.25">
      <c r="A393" s="6">
        <v>308189</v>
      </c>
      <c r="B393" s="1">
        <v>44768</v>
      </c>
      <c r="C393" s="11">
        <v>1</v>
      </c>
      <c r="E393" s="6">
        <v>308189</v>
      </c>
      <c r="F393" s="1">
        <v>44768</v>
      </c>
      <c r="G393" s="11">
        <v>1</v>
      </c>
    </row>
    <row r="394" spans="1:7" x14ac:dyDescent="0.25">
      <c r="A394" s="6">
        <v>308192</v>
      </c>
      <c r="B394" s="1">
        <v>44659</v>
      </c>
      <c r="C394" s="11">
        <v>2</v>
      </c>
      <c r="E394" s="6">
        <v>308192</v>
      </c>
      <c r="F394" s="1">
        <v>44659</v>
      </c>
      <c r="G394" s="11">
        <v>2</v>
      </c>
    </row>
    <row r="395" spans="1:7" x14ac:dyDescent="0.25">
      <c r="A395" s="6">
        <v>308194</v>
      </c>
      <c r="B395" s="1">
        <v>44810</v>
      </c>
      <c r="C395" s="11">
        <v>6</v>
      </c>
      <c r="E395" s="6">
        <v>308194</v>
      </c>
      <c r="F395" s="1">
        <v>44810</v>
      </c>
      <c r="G395" s="11">
        <v>6</v>
      </c>
    </row>
    <row r="396" spans="1:7" x14ac:dyDescent="0.25">
      <c r="A396" s="6">
        <v>308198</v>
      </c>
      <c r="B396" s="1">
        <v>44666</v>
      </c>
      <c r="C396" s="11">
        <v>1</v>
      </c>
      <c r="E396" s="6">
        <v>308198</v>
      </c>
      <c r="F396" s="1">
        <v>44666</v>
      </c>
      <c r="G396" s="11">
        <v>1</v>
      </c>
    </row>
    <row r="397" spans="1:7" x14ac:dyDescent="0.25">
      <c r="A397" s="6">
        <v>308201</v>
      </c>
      <c r="B397" s="1">
        <v>44703</v>
      </c>
      <c r="C397" s="11">
        <v>5</v>
      </c>
      <c r="E397" s="6">
        <v>308201</v>
      </c>
      <c r="F397" s="1">
        <v>44703</v>
      </c>
      <c r="G397" s="11">
        <v>5</v>
      </c>
    </row>
    <row r="398" spans="1:7" x14ac:dyDescent="0.25">
      <c r="A398" s="6">
        <v>308205</v>
      </c>
      <c r="B398" s="1">
        <v>44802</v>
      </c>
      <c r="C398" s="11">
        <v>1</v>
      </c>
      <c r="E398" s="6">
        <v>308205</v>
      </c>
      <c r="F398" s="1">
        <v>44802</v>
      </c>
      <c r="G398" s="11">
        <v>1</v>
      </c>
    </row>
    <row r="399" spans="1:7" x14ac:dyDescent="0.25">
      <c r="A399" s="6">
        <v>308206</v>
      </c>
      <c r="B399" s="1">
        <v>44627</v>
      </c>
      <c r="C399" s="11">
        <v>2</v>
      </c>
      <c r="E399" s="6">
        <v>308206</v>
      </c>
      <c r="F399" s="1">
        <v>44627</v>
      </c>
      <c r="G399" s="11">
        <v>2</v>
      </c>
    </row>
    <row r="400" spans="1:7" x14ac:dyDescent="0.25">
      <c r="A400" s="6">
        <v>308211</v>
      </c>
      <c r="B400" s="1">
        <v>44576</v>
      </c>
      <c r="C400" s="11">
        <v>1</v>
      </c>
      <c r="E400" s="6">
        <v>308211</v>
      </c>
      <c r="F400" s="1">
        <v>44576</v>
      </c>
      <c r="G400" s="11">
        <v>1</v>
      </c>
    </row>
    <row r="401" spans="1:7" x14ac:dyDescent="0.25">
      <c r="A401" s="6">
        <v>308213</v>
      </c>
      <c r="B401" s="1">
        <v>44771</v>
      </c>
      <c r="C401" s="11">
        <v>3</v>
      </c>
      <c r="E401" s="6">
        <v>308213</v>
      </c>
      <c r="F401" s="1">
        <v>44771</v>
      </c>
      <c r="G401" s="11">
        <v>3</v>
      </c>
    </row>
    <row r="402" spans="1:7" x14ac:dyDescent="0.25">
      <c r="A402" s="6">
        <v>308217</v>
      </c>
      <c r="B402" s="1">
        <v>44576</v>
      </c>
      <c r="C402" s="11">
        <v>4</v>
      </c>
      <c r="E402" s="6">
        <v>308217</v>
      </c>
      <c r="F402" s="1">
        <v>44576</v>
      </c>
      <c r="G402" s="11">
        <v>4</v>
      </c>
    </row>
    <row r="403" spans="1:7" x14ac:dyDescent="0.25">
      <c r="A403" s="6">
        <v>308222</v>
      </c>
      <c r="B403" s="1">
        <v>44659</v>
      </c>
      <c r="C403" s="11">
        <v>5</v>
      </c>
      <c r="E403" s="6">
        <v>308222</v>
      </c>
      <c r="F403" s="1">
        <v>44659</v>
      </c>
      <c r="G403" s="11">
        <v>5</v>
      </c>
    </row>
    <row r="404" spans="1:7" x14ac:dyDescent="0.25">
      <c r="A404" s="6">
        <v>308223</v>
      </c>
      <c r="B404" s="1">
        <v>44567</v>
      </c>
      <c r="C404" s="11">
        <v>6</v>
      </c>
      <c r="E404" s="6">
        <v>308223</v>
      </c>
      <c r="F404" s="1">
        <v>44567</v>
      </c>
      <c r="G404" s="11">
        <v>6</v>
      </c>
    </row>
    <row r="405" spans="1:7" x14ac:dyDescent="0.25">
      <c r="A405" s="6">
        <v>308224</v>
      </c>
      <c r="B405" s="1">
        <v>44749</v>
      </c>
      <c r="C405" s="11">
        <v>3</v>
      </c>
      <c r="E405" s="6">
        <v>308224</v>
      </c>
      <c r="F405" s="1">
        <v>44749</v>
      </c>
      <c r="G405" s="11">
        <v>3</v>
      </c>
    </row>
    <row r="406" spans="1:7" x14ac:dyDescent="0.25">
      <c r="A406" s="6">
        <v>308226</v>
      </c>
      <c r="B406" s="1">
        <v>44680</v>
      </c>
      <c r="C406" s="11">
        <v>2</v>
      </c>
      <c r="E406" s="6">
        <v>308226</v>
      </c>
      <c r="F406" s="1">
        <v>44680</v>
      </c>
      <c r="G406" s="11">
        <v>2</v>
      </c>
    </row>
    <row r="407" spans="1:7" x14ac:dyDescent="0.25">
      <c r="A407" s="6">
        <v>308231</v>
      </c>
      <c r="B407" s="1">
        <v>44748</v>
      </c>
      <c r="C407" s="11">
        <v>6</v>
      </c>
      <c r="E407" s="6">
        <v>308231</v>
      </c>
      <c r="F407" s="1">
        <v>44748</v>
      </c>
      <c r="G407" s="11">
        <v>6</v>
      </c>
    </row>
    <row r="408" spans="1:7" x14ac:dyDescent="0.25">
      <c r="A408" s="6">
        <v>308235</v>
      </c>
      <c r="B408" s="1">
        <v>44568</v>
      </c>
      <c r="C408" s="11">
        <v>2</v>
      </c>
      <c r="E408" s="6">
        <v>308235</v>
      </c>
      <c r="F408" s="1">
        <v>44568</v>
      </c>
      <c r="G408" s="11">
        <v>2</v>
      </c>
    </row>
    <row r="409" spans="1:7" x14ac:dyDescent="0.25">
      <c r="A409" s="6">
        <v>308238</v>
      </c>
      <c r="B409" s="1">
        <v>44748</v>
      </c>
      <c r="C409" s="11">
        <v>3</v>
      </c>
      <c r="E409" s="6">
        <v>308238</v>
      </c>
      <c r="F409" s="1">
        <v>44748</v>
      </c>
      <c r="G409" s="11">
        <v>3</v>
      </c>
    </row>
    <row r="410" spans="1:7" x14ac:dyDescent="0.25">
      <c r="A410" s="6">
        <v>308241</v>
      </c>
      <c r="B410" s="1">
        <v>44718</v>
      </c>
      <c r="C410" s="11">
        <v>2</v>
      </c>
      <c r="E410" s="6">
        <v>308241</v>
      </c>
      <c r="F410" s="1">
        <v>44718</v>
      </c>
      <c r="G410" s="11">
        <v>2</v>
      </c>
    </row>
    <row r="411" spans="1:7" x14ac:dyDescent="0.25">
      <c r="A411" s="6">
        <v>308246</v>
      </c>
      <c r="B411" s="1">
        <v>44853</v>
      </c>
      <c r="C411" s="11">
        <v>1</v>
      </c>
      <c r="E411" s="6">
        <v>308246</v>
      </c>
      <c r="F411" s="1">
        <v>44853</v>
      </c>
      <c r="G411" s="11">
        <v>1</v>
      </c>
    </row>
    <row r="412" spans="1:7" x14ac:dyDescent="0.25">
      <c r="A412" s="6">
        <v>308249</v>
      </c>
      <c r="B412" s="1">
        <v>44740</v>
      </c>
      <c r="C412" s="11">
        <v>1</v>
      </c>
      <c r="E412" s="6">
        <v>308249</v>
      </c>
      <c r="F412" s="1">
        <v>44740</v>
      </c>
      <c r="G412" s="11">
        <v>1</v>
      </c>
    </row>
    <row r="413" spans="1:7" x14ac:dyDescent="0.25">
      <c r="A413" s="6">
        <v>308252</v>
      </c>
      <c r="B413" s="1">
        <v>44643</v>
      </c>
      <c r="C413" s="11">
        <v>2</v>
      </c>
      <c r="E413" s="6">
        <v>308252</v>
      </c>
      <c r="F413" s="1">
        <v>44643</v>
      </c>
      <c r="G413" s="11">
        <v>2</v>
      </c>
    </row>
    <row r="414" spans="1:7" x14ac:dyDescent="0.25">
      <c r="A414" s="6">
        <v>308255</v>
      </c>
      <c r="B414" s="1">
        <v>44647</v>
      </c>
      <c r="C414" s="11">
        <v>1</v>
      </c>
      <c r="E414" s="6">
        <v>308255</v>
      </c>
      <c r="F414" s="1">
        <v>44647</v>
      </c>
      <c r="G414" s="11">
        <v>1</v>
      </c>
    </row>
    <row r="415" spans="1:7" x14ac:dyDescent="0.25">
      <c r="A415" s="6">
        <v>308256</v>
      </c>
      <c r="B415" s="1">
        <v>44815</v>
      </c>
      <c r="C415" s="11">
        <v>4</v>
      </c>
      <c r="E415" s="6">
        <v>308256</v>
      </c>
      <c r="F415" s="1">
        <v>44815</v>
      </c>
      <c r="G415" s="11">
        <v>4</v>
      </c>
    </row>
    <row r="416" spans="1:7" x14ac:dyDescent="0.25">
      <c r="A416" s="6">
        <v>308257</v>
      </c>
      <c r="B416" s="1">
        <v>44852</v>
      </c>
      <c r="C416" s="11">
        <v>1</v>
      </c>
      <c r="E416" s="6">
        <v>308257</v>
      </c>
      <c r="F416" s="1">
        <v>44852</v>
      </c>
      <c r="G416" s="11">
        <v>1</v>
      </c>
    </row>
    <row r="417" spans="1:7" x14ac:dyDescent="0.25">
      <c r="A417" s="6">
        <v>308258</v>
      </c>
      <c r="B417" s="1">
        <v>44745</v>
      </c>
      <c r="C417" s="11">
        <v>4</v>
      </c>
      <c r="E417" s="6">
        <v>308258</v>
      </c>
      <c r="F417" s="1">
        <v>44745</v>
      </c>
      <c r="G417" s="11">
        <v>4</v>
      </c>
    </row>
    <row r="418" spans="1:7" x14ac:dyDescent="0.25">
      <c r="A418" s="6">
        <v>308263</v>
      </c>
      <c r="B418" s="1">
        <v>44606</v>
      </c>
      <c r="C418" s="11">
        <v>4</v>
      </c>
      <c r="E418" s="6">
        <v>308263</v>
      </c>
      <c r="F418" s="1">
        <v>44606</v>
      </c>
      <c r="G418" s="11">
        <v>4</v>
      </c>
    </row>
    <row r="419" spans="1:7" x14ac:dyDescent="0.25">
      <c r="A419" s="6">
        <v>308266</v>
      </c>
      <c r="B419" s="1">
        <v>44703</v>
      </c>
      <c r="C419" s="11">
        <v>4</v>
      </c>
      <c r="E419" s="6">
        <v>308266</v>
      </c>
      <c r="F419" s="1">
        <v>44703</v>
      </c>
      <c r="G419" s="11">
        <v>4</v>
      </c>
    </row>
    <row r="420" spans="1:7" x14ac:dyDescent="0.25">
      <c r="A420" s="6">
        <v>308267</v>
      </c>
      <c r="B420" s="1">
        <v>44700</v>
      </c>
      <c r="C420" s="11">
        <v>1</v>
      </c>
      <c r="E420" s="6">
        <v>308267</v>
      </c>
      <c r="F420" s="1">
        <v>44700</v>
      </c>
      <c r="G420" s="11">
        <v>1</v>
      </c>
    </row>
    <row r="421" spans="1:7" x14ac:dyDescent="0.25">
      <c r="A421" s="6">
        <v>308270</v>
      </c>
      <c r="B421" s="1">
        <v>44683</v>
      </c>
      <c r="C421" s="11">
        <v>5</v>
      </c>
      <c r="E421" s="6">
        <v>308270</v>
      </c>
      <c r="F421" s="1">
        <v>44683</v>
      </c>
      <c r="G421" s="11">
        <v>5</v>
      </c>
    </row>
    <row r="422" spans="1:7" x14ac:dyDescent="0.25">
      <c r="A422" s="6">
        <v>308272</v>
      </c>
      <c r="B422" s="1">
        <v>44576</v>
      </c>
      <c r="C422" s="11">
        <v>4</v>
      </c>
      <c r="E422" s="6">
        <v>308272</v>
      </c>
      <c r="F422" s="1">
        <v>44576</v>
      </c>
      <c r="G422" s="11">
        <v>4</v>
      </c>
    </row>
    <row r="423" spans="1:7" x14ac:dyDescent="0.25">
      <c r="A423" s="6">
        <v>308274</v>
      </c>
      <c r="B423" s="1">
        <v>44810</v>
      </c>
      <c r="C423" s="11">
        <v>4</v>
      </c>
      <c r="E423" s="6">
        <v>308274</v>
      </c>
      <c r="F423" s="1">
        <v>44810</v>
      </c>
      <c r="G423" s="11">
        <v>4</v>
      </c>
    </row>
    <row r="424" spans="1:7" x14ac:dyDescent="0.25">
      <c r="A424" s="6">
        <v>308275</v>
      </c>
      <c r="B424" s="1">
        <v>44753</v>
      </c>
      <c r="C424" s="11">
        <v>6</v>
      </c>
      <c r="E424" s="6">
        <v>308275</v>
      </c>
      <c r="F424" s="1">
        <v>44753</v>
      </c>
      <c r="G424" s="11">
        <v>6</v>
      </c>
    </row>
    <row r="425" spans="1:7" x14ac:dyDescent="0.25">
      <c r="A425" s="6">
        <v>308278</v>
      </c>
      <c r="B425" s="1">
        <v>44599</v>
      </c>
      <c r="C425" s="11">
        <v>6</v>
      </c>
      <c r="E425" s="6">
        <v>308278</v>
      </c>
      <c r="F425" s="1">
        <v>44599</v>
      </c>
      <c r="G425" s="11">
        <v>6</v>
      </c>
    </row>
    <row r="426" spans="1:7" x14ac:dyDescent="0.25">
      <c r="A426" s="6">
        <v>308279</v>
      </c>
      <c r="B426" s="1">
        <v>44621</v>
      </c>
      <c r="C426" s="11">
        <v>1</v>
      </c>
      <c r="E426" s="6">
        <v>308279</v>
      </c>
      <c r="F426" s="1">
        <v>44621</v>
      </c>
      <c r="G426" s="11">
        <v>1</v>
      </c>
    </row>
    <row r="427" spans="1:7" x14ac:dyDescent="0.25">
      <c r="A427" s="6">
        <v>308280</v>
      </c>
      <c r="B427" s="1">
        <v>44809</v>
      </c>
      <c r="C427" s="11">
        <v>1</v>
      </c>
      <c r="E427" s="6">
        <v>308280</v>
      </c>
      <c r="F427" s="1">
        <v>44809</v>
      </c>
      <c r="G427" s="11">
        <v>1</v>
      </c>
    </row>
    <row r="428" spans="1:7" x14ac:dyDescent="0.25">
      <c r="A428" s="6">
        <v>308282</v>
      </c>
      <c r="B428" s="1">
        <v>44578</v>
      </c>
      <c r="C428" s="11">
        <v>6</v>
      </c>
      <c r="E428" s="6">
        <v>308282</v>
      </c>
      <c r="F428" s="1">
        <v>44578</v>
      </c>
      <c r="G428" s="11">
        <v>6</v>
      </c>
    </row>
    <row r="429" spans="1:7" x14ac:dyDescent="0.25">
      <c r="A429" s="6">
        <v>308286</v>
      </c>
      <c r="B429" s="1">
        <v>44615</v>
      </c>
      <c r="C429" s="11">
        <v>4</v>
      </c>
      <c r="E429" s="6">
        <v>308286</v>
      </c>
      <c r="F429" s="1">
        <v>44615</v>
      </c>
      <c r="G429" s="11">
        <v>4</v>
      </c>
    </row>
    <row r="430" spans="1:7" x14ac:dyDescent="0.25">
      <c r="A430" s="6">
        <v>308288</v>
      </c>
      <c r="B430" s="1">
        <v>44779</v>
      </c>
      <c r="C430" s="11">
        <v>2</v>
      </c>
      <c r="E430" s="6">
        <v>308288</v>
      </c>
      <c r="F430" s="1">
        <v>44779</v>
      </c>
      <c r="G430" s="11">
        <v>2</v>
      </c>
    </row>
    <row r="431" spans="1:7" x14ac:dyDescent="0.25">
      <c r="A431" s="6">
        <v>308293</v>
      </c>
      <c r="B431" s="1">
        <v>44757</v>
      </c>
      <c r="C431" s="11">
        <v>3</v>
      </c>
      <c r="E431" s="6">
        <v>308293</v>
      </c>
      <c r="F431" s="1">
        <v>44757</v>
      </c>
      <c r="G431" s="11">
        <v>3</v>
      </c>
    </row>
    <row r="432" spans="1:7" x14ac:dyDescent="0.25">
      <c r="A432" s="6">
        <v>308294</v>
      </c>
      <c r="B432" s="1">
        <v>44594</v>
      </c>
      <c r="C432" s="11">
        <v>3</v>
      </c>
      <c r="E432" s="6">
        <v>308294</v>
      </c>
      <c r="F432" s="1">
        <v>44594</v>
      </c>
      <c r="G432" s="11">
        <v>3</v>
      </c>
    </row>
    <row r="433" spans="1:7" x14ac:dyDescent="0.25">
      <c r="A433" s="6">
        <v>308299</v>
      </c>
      <c r="B433" s="1">
        <v>44627</v>
      </c>
      <c r="C433" s="11">
        <v>3</v>
      </c>
      <c r="E433" s="6">
        <v>308299</v>
      </c>
      <c r="F433" s="1">
        <v>44627</v>
      </c>
      <c r="G433" s="11">
        <v>3</v>
      </c>
    </row>
    <row r="434" spans="1:7" x14ac:dyDescent="0.25">
      <c r="A434" s="6">
        <v>308304</v>
      </c>
      <c r="B434" s="1">
        <v>44851</v>
      </c>
      <c r="C434" s="11">
        <v>1</v>
      </c>
      <c r="E434" s="6">
        <v>308304</v>
      </c>
      <c r="F434" s="1">
        <v>44851</v>
      </c>
      <c r="G434" s="11">
        <v>1</v>
      </c>
    </row>
    <row r="435" spans="1:7" x14ac:dyDescent="0.25">
      <c r="A435" s="6">
        <v>308308</v>
      </c>
      <c r="B435" s="1">
        <v>44630</v>
      </c>
      <c r="C435" s="11">
        <v>1</v>
      </c>
      <c r="E435" s="6">
        <v>308308</v>
      </c>
      <c r="F435" s="1">
        <v>44630</v>
      </c>
      <c r="G435" s="11">
        <v>1</v>
      </c>
    </row>
    <row r="436" spans="1:7" x14ac:dyDescent="0.25">
      <c r="A436" s="6">
        <v>308313</v>
      </c>
      <c r="B436" s="1">
        <v>44589</v>
      </c>
      <c r="C436" s="11">
        <v>5</v>
      </c>
      <c r="E436" s="6">
        <v>308313</v>
      </c>
      <c r="F436" s="1">
        <v>44589</v>
      </c>
      <c r="G436" s="11">
        <v>5</v>
      </c>
    </row>
    <row r="437" spans="1:7" x14ac:dyDescent="0.25">
      <c r="A437" s="6">
        <v>308318</v>
      </c>
      <c r="B437" s="1">
        <v>44622</v>
      </c>
      <c r="C437" s="11">
        <v>5</v>
      </c>
      <c r="E437" s="6">
        <v>308318</v>
      </c>
      <c r="F437" s="1">
        <v>44622</v>
      </c>
      <c r="G437" s="11">
        <v>5</v>
      </c>
    </row>
    <row r="438" spans="1:7" x14ac:dyDescent="0.25">
      <c r="A438" s="6">
        <v>308323</v>
      </c>
      <c r="B438" s="1">
        <v>44756</v>
      </c>
      <c r="C438" s="11">
        <v>5</v>
      </c>
      <c r="E438" s="6">
        <v>308323</v>
      </c>
      <c r="F438" s="1">
        <v>44756</v>
      </c>
      <c r="G438" s="11">
        <v>5</v>
      </c>
    </row>
    <row r="439" spans="1:7" x14ac:dyDescent="0.25">
      <c r="A439" s="6">
        <v>308328</v>
      </c>
      <c r="B439" s="1">
        <v>44592</v>
      </c>
      <c r="C439" s="11">
        <v>5</v>
      </c>
      <c r="E439" s="6">
        <v>308328</v>
      </c>
      <c r="F439" s="1">
        <v>44592</v>
      </c>
      <c r="G439" s="11">
        <v>5</v>
      </c>
    </row>
    <row r="440" spans="1:7" x14ac:dyDescent="0.25">
      <c r="A440" s="6">
        <v>308333</v>
      </c>
      <c r="B440" s="1">
        <v>44784</v>
      </c>
      <c r="C440" s="11">
        <v>2</v>
      </c>
      <c r="E440" s="6">
        <v>308333</v>
      </c>
      <c r="F440" s="1">
        <v>44784</v>
      </c>
      <c r="G440" s="11">
        <v>2</v>
      </c>
    </row>
    <row r="441" spans="1:7" x14ac:dyDescent="0.25">
      <c r="A441" s="6">
        <v>308337</v>
      </c>
      <c r="B441" s="1">
        <v>44573</v>
      </c>
      <c r="C441" s="11">
        <v>2</v>
      </c>
      <c r="E441" s="6">
        <v>308337</v>
      </c>
      <c r="F441" s="1">
        <v>44573</v>
      </c>
      <c r="G441" s="11">
        <v>2</v>
      </c>
    </row>
    <row r="442" spans="1:7" x14ac:dyDescent="0.25">
      <c r="A442" s="6">
        <v>308340</v>
      </c>
      <c r="B442" s="1">
        <v>44595</v>
      </c>
      <c r="C442" s="11">
        <v>5</v>
      </c>
      <c r="E442" s="6">
        <v>308340</v>
      </c>
      <c r="F442" s="1">
        <v>44595</v>
      </c>
      <c r="G442" s="11">
        <v>5</v>
      </c>
    </row>
    <row r="443" spans="1:7" x14ac:dyDescent="0.25">
      <c r="A443" s="6">
        <v>308342</v>
      </c>
      <c r="B443" s="1">
        <v>44682</v>
      </c>
      <c r="C443" s="11">
        <v>3</v>
      </c>
      <c r="E443" s="6">
        <v>308342</v>
      </c>
      <c r="F443" s="1">
        <v>44682</v>
      </c>
      <c r="G443" s="11">
        <v>3</v>
      </c>
    </row>
    <row r="444" spans="1:7" x14ac:dyDescent="0.25">
      <c r="A444" s="6">
        <v>308347</v>
      </c>
      <c r="B444" s="1">
        <v>44802</v>
      </c>
      <c r="C444" s="11">
        <v>2</v>
      </c>
      <c r="E444" s="6">
        <v>308347</v>
      </c>
      <c r="F444" s="1">
        <v>44802</v>
      </c>
      <c r="G444" s="11">
        <v>2</v>
      </c>
    </row>
    <row r="445" spans="1:7" x14ac:dyDescent="0.25">
      <c r="A445" s="6">
        <v>308348</v>
      </c>
      <c r="B445" s="1">
        <v>44863</v>
      </c>
      <c r="C445" s="11">
        <v>4</v>
      </c>
      <c r="E445" s="6">
        <v>308348</v>
      </c>
      <c r="F445" s="1">
        <v>44863</v>
      </c>
      <c r="G445" s="11">
        <v>4</v>
      </c>
    </row>
    <row r="446" spans="1:7" x14ac:dyDescent="0.25">
      <c r="A446" s="6">
        <v>308352</v>
      </c>
      <c r="B446" s="1">
        <v>44602</v>
      </c>
      <c r="C446" s="11">
        <v>4</v>
      </c>
      <c r="E446" s="6">
        <v>308352</v>
      </c>
      <c r="F446" s="1">
        <v>44602</v>
      </c>
      <c r="G446" s="11">
        <v>4</v>
      </c>
    </row>
    <row r="447" spans="1:7" x14ac:dyDescent="0.25">
      <c r="A447" s="6">
        <v>308353</v>
      </c>
      <c r="B447" s="1">
        <v>44665</v>
      </c>
      <c r="C447" s="11">
        <v>3</v>
      </c>
      <c r="E447" s="6">
        <v>308353</v>
      </c>
      <c r="F447" s="1">
        <v>44665</v>
      </c>
      <c r="G447" s="11">
        <v>3</v>
      </c>
    </row>
    <row r="448" spans="1:7" x14ac:dyDescent="0.25">
      <c r="A448" s="6">
        <v>308356</v>
      </c>
      <c r="B448" s="1">
        <v>44748</v>
      </c>
      <c r="C448" s="11">
        <v>3</v>
      </c>
      <c r="E448" s="6">
        <v>308356</v>
      </c>
      <c r="F448" s="1">
        <v>44748</v>
      </c>
      <c r="G448" s="11">
        <v>3</v>
      </c>
    </row>
    <row r="449" spans="1:7" x14ac:dyDescent="0.25">
      <c r="A449" s="6">
        <v>308361</v>
      </c>
      <c r="B449" s="1">
        <v>44838</v>
      </c>
      <c r="C449" s="11">
        <v>6</v>
      </c>
      <c r="E449" s="6">
        <v>308361</v>
      </c>
      <c r="F449" s="1">
        <v>44838</v>
      </c>
      <c r="G449" s="11">
        <v>6</v>
      </c>
    </row>
    <row r="450" spans="1:7" x14ac:dyDescent="0.25">
      <c r="A450" s="6">
        <v>308363</v>
      </c>
      <c r="B450" s="1">
        <v>44624</v>
      </c>
      <c r="C450" s="11">
        <v>3</v>
      </c>
      <c r="E450" s="6">
        <v>308363</v>
      </c>
      <c r="F450" s="1">
        <v>44624</v>
      </c>
      <c r="G450" s="11">
        <v>3</v>
      </c>
    </row>
    <row r="451" spans="1:7" x14ac:dyDescent="0.25">
      <c r="A451" s="6">
        <v>308368</v>
      </c>
      <c r="B451" s="1">
        <v>44832</v>
      </c>
      <c r="C451" s="11">
        <v>3</v>
      </c>
      <c r="E451" s="6">
        <v>308368</v>
      </c>
      <c r="F451" s="1">
        <v>44832</v>
      </c>
      <c r="G451" s="11">
        <v>3</v>
      </c>
    </row>
    <row r="452" spans="1:7" x14ac:dyDescent="0.25">
      <c r="A452" s="6">
        <v>308369</v>
      </c>
      <c r="B452" s="1">
        <v>44573</v>
      </c>
      <c r="C452" s="11">
        <v>2</v>
      </c>
      <c r="E452" s="6">
        <v>308369</v>
      </c>
      <c r="F452" s="1">
        <v>44573</v>
      </c>
      <c r="G452" s="11">
        <v>2</v>
      </c>
    </row>
    <row r="453" spans="1:7" x14ac:dyDescent="0.25">
      <c r="A453" s="6">
        <v>308372</v>
      </c>
      <c r="B453" s="1">
        <v>44834</v>
      </c>
      <c r="C453" s="11">
        <v>1</v>
      </c>
      <c r="E453" s="6">
        <v>308372</v>
      </c>
      <c r="F453" s="1">
        <v>44834</v>
      </c>
      <c r="G453" s="11">
        <v>1</v>
      </c>
    </row>
    <row r="454" spans="1:7" x14ac:dyDescent="0.25">
      <c r="A454" s="6">
        <v>308374</v>
      </c>
      <c r="B454" s="1">
        <v>44705</v>
      </c>
      <c r="C454" s="11">
        <v>3</v>
      </c>
      <c r="E454" s="6">
        <v>308374</v>
      </c>
      <c r="F454" s="1">
        <v>44705</v>
      </c>
      <c r="G454" s="11">
        <v>3</v>
      </c>
    </row>
    <row r="455" spans="1:7" x14ac:dyDescent="0.25">
      <c r="A455" s="6">
        <v>308379</v>
      </c>
      <c r="B455" s="1">
        <v>44579</v>
      </c>
      <c r="C455" s="11">
        <v>2</v>
      </c>
      <c r="E455" s="6">
        <v>308379</v>
      </c>
      <c r="F455" s="1">
        <v>44579</v>
      </c>
      <c r="G455" s="11">
        <v>2</v>
      </c>
    </row>
    <row r="456" spans="1:7" x14ac:dyDescent="0.25">
      <c r="A456" s="6">
        <v>308380</v>
      </c>
      <c r="B456" s="1">
        <v>44697</v>
      </c>
      <c r="C456" s="11">
        <v>2</v>
      </c>
      <c r="E456" s="6">
        <v>308380</v>
      </c>
      <c r="F456" s="1">
        <v>44697</v>
      </c>
      <c r="G456" s="11">
        <v>2</v>
      </c>
    </row>
    <row r="457" spans="1:7" x14ac:dyDescent="0.25">
      <c r="A457" s="6">
        <v>308382</v>
      </c>
      <c r="B457" s="1">
        <v>44699</v>
      </c>
      <c r="C457" s="11">
        <v>1</v>
      </c>
      <c r="E457" s="6">
        <v>308382</v>
      </c>
      <c r="F457" s="1">
        <v>44699</v>
      </c>
      <c r="G457" s="11">
        <v>1</v>
      </c>
    </row>
    <row r="458" spans="1:7" x14ac:dyDescent="0.25">
      <c r="A458" s="6">
        <v>308387</v>
      </c>
      <c r="B458" s="1">
        <v>44749</v>
      </c>
      <c r="C458" s="11">
        <v>5</v>
      </c>
      <c r="E458" s="6">
        <v>308387</v>
      </c>
      <c r="F458" s="1">
        <v>44749</v>
      </c>
      <c r="G458" s="11">
        <v>5</v>
      </c>
    </row>
    <row r="459" spans="1:7" x14ac:dyDescent="0.25">
      <c r="A459" s="6">
        <v>308392</v>
      </c>
      <c r="B459" s="1">
        <v>44768</v>
      </c>
      <c r="C459" s="11">
        <v>4</v>
      </c>
      <c r="E459" s="6">
        <v>308392</v>
      </c>
      <c r="F459" s="1">
        <v>44768</v>
      </c>
      <c r="G459" s="11">
        <v>4</v>
      </c>
    </row>
    <row r="460" spans="1:7" x14ac:dyDescent="0.25">
      <c r="A460" s="6">
        <v>308397</v>
      </c>
      <c r="B460" s="1">
        <v>44711</v>
      </c>
      <c r="C460" s="11">
        <v>5</v>
      </c>
      <c r="E460" s="6">
        <v>308397</v>
      </c>
      <c r="F460" s="1">
        <v>44711</v>
      </c>
      <c r="G460" s="11">
        <v>5</v>
      </c>
    </row>
    <row r="461" spans="1:7" x14ac:dyDescent="0.25">
      <c r="A461" s="6">
        <v>308399</v>
      </c>
      <c r="B461" s="1">
        <v>44678</v>
      </c>
      <c r="C461" s="11">
        <v>1</v>
      </c>
      <c r="E461" s="6">
        <v>308399</v>
      </c>
      <c r="F461" s="1">
        <v>44678</v>
      </c>
      <c r="G461" s="11">
        <v>1</v>
      </c>
    </row>
    <row r="462" spans="1:7" x14ac:dyDescent="0.25">
      <c r="A462" s="6">
        <v>308400</v>
      </c>
      <c r="B462" s="1">
        <v>44752</v>
      </c>
      <c r="C462" s="11">
        <v>4</v>
      </c>
      <c r="E462" s="6">
        <v>308400</v>
      </c>
      <c r="F462" s="1">
        <v>44752</v>
      </c>
      <c r="G462" s="11">
        <v>4</v>
      </c>
    </row>
    <row r="463" spans="1:7" x14ac:dyDescent="0.25">
      <c r="A463" s="6">
        <v>308405</v>
      </c>
      <c r="B463" s="1">
        <v>44760</v>
      </c>
      <c r="C463" s="11">
        <v>5</v>
      </c>
      <c r="E463" s="6">
        <v>308405</v>
      </c>
      <c r="F463" s="1">
        <v>44760</v>
      </c>
      <c r="G463" s="11">
        <v>5</v>
      </c>
    </row>
    <row r="464" spans="1:7" x14ac:dyDescent="0.25">
      <c r="A464" s="6">
        <v>308410</v>
      </c>
      <c r="B464" s="1">
        <v>44569</v>
      </c>
      <c r="C464" s="11">
        <v>2</v>
      </c>
      <c r="E464" s="6">
        <v>308410</v>
      </c>
      <c r="F464" s="1">
        <v>44569</v>
      </c>
      <c r="G464" s="11">
        <v>2</v>
      </c>
    </row>
    <row r="465" spans="1:7" x14ac:dyDescent="0.25">
      <c r="A465" s="6">
        <v>308414</v>
      </c>
      <c r="B465" s="1">
        <v>44605</v>
      </c>
      <c r="C465" s="11">
        <v>6</v>
      </c>
      <c r="E465" s="6">
        <v>308414</v>
      </c>
      <c r="F465" s="1">
        <v>44605</v>
      </c>
      <c r="G465" s="11">
        <v>6</v>
      </c>
    </row>
    <row r="466" spans="1:7" x14ac:dyDescent="0.25">
      <c r="A466" s="6">
        <v>308416</v>
      </c>
      <c r="B466" s="1">
        <v>44747</v>
      </c>
      <c r="C466" s="11">
        <v>6</v>
      </c>
      <c r="E466" s="6">
        <v>308416</v>
      </c>
      <c r="F466" s="1">
        <v>44747</v>
      </c>
      <c r="G466" s="11">
        <v>6</v>
      </c>
    </row>
    <row r="467" spans="1:7" x14ac:dyDescent="0.25">
      <c r="A467" s="6">
        <v>308420</v>
      </c>
      <c r="B467" s="1">
        <v>44857</v>
      </c>
      <c r="C467" s="11">
        <v>1</v>
      </c>
      <c r="E467" s="6">
        <v>308420</v>
      </c>
      <c r="F467" s="1">
        <v>44857</v>
      </c>
      <c r="G467" s="11">
        <v>1</v>
      </c>
    </row>
    <row r="468" spans="1:7" x14ac:dyDescent="0.25">
      <c r="A468" s="6">
        <v>308423</v>
      </c>
      <c r="B468" s="1">
        <v>44671</v>
      </c>
      <c r="C468" s="11">
        <v>1</v>
      </c>
      <c r="E468" s="6">
        <v>308423</v>
      </c>
      <c r="F468" s="1">
        <v>44671</v>
      </c>
      <c r="G468" s="11">
        <v>1</v>
      </c>
    </row>
    <row r="469" spans="1:7" x14ac:dyDescent="0.25">
      <c r="A469" s="6">
        <v>308426</v>
      </c>
      <c r="B469" s="1">
        <v>44564</v>
      </c>
      <c r="C469" s="11">
        <v>3</v>
      </c>
      <c r="E469" s="6">
        <v>308426</v>
      </c>
      <c r="F469" s="1">
        <v>44564</v>
      </c>
      <c r="G469" s="11">
        <v>3</v>
      </c>
    </row>
    <row r="470" spans="1:7" x14ac:dyDescent="0.25">
      <c r="A470" s="6">
        <v>308429</v>
      </c>
      <c r="B470" s="1">
        <v>44775</v>
      </c>
      <c r="C470" s="11">
        <v>3</v>
      </c>
      <c r="E470" s="6">
        <v>308429</v>
      </c>
      <c r="F470" s="1">
        <v>44775</v>
      </c>
      <c r="G470" s="11">
        <v>3</v>
      </c>
    </row>
    <row r="471" spans="1:7" x14ac:dyDescent="0.25">
      <c r="A471" s="6">
        <v>308431</v>
      </c>
      <c r="B471" s="1">
        <v>44601</v>
      </c>
      <c r="C471" s="11">
        <v>2</v>
      </c>
      <c r="E471" s="6">
        <v>308431</v>
      </c>
      <c r="F471" s="1">
        <v>44601</v>
      </c>
      <c r="G471" s="11">
        <v>2</v>
      </c>
    </row>
    <row r="472" spans="1:7" x14ac:dyDescent="0.25">
      <c r="A472" s="6">
        <v>308433</v>
      </c>
      <c r="B472" s="1">
        <v>44857</v>
      </c>
      <c r="C472" s="11">
        <v>3</v>
      </c>
      <c r="E472" s="6">
        <v>308433</v>
      </c>
      <c r="F472" s="1">
        <v>44857</v>
      </c>
      <c r="G472" s="11">
        <v>3</v>
      </c>
    </row>
    <row r="473" spans="1:7" x14ac:dyDescent="0.25">
      <c r="A473" s="6">
        <v>308438</v>
      </c>
      <c r="B473" s="1">
        <v>44663</v>
      </c>
      <c r="C473" s="11">
        <v>1</v>
      </c>
      <c r="E473" s="6">
        <v>308438</v>
      </c>
      <c r="F473" s="1">
        <v>44663</v>
      </c>
      <c r="G473" s="11">
        <v>1</v>
      </c>
    </row>
    <row r="474" spans="1:7" x14ac:dyDescent="0.25">
      <c r="A474" s="6">
        <v>308439</v>
      </c>
      <c r="B474" s="1">
        <v>44631</v>
      </c>
      <c r="C474" s="11">
        <v>1</v>
      </c>
      <c r="E474" s="6">
        <v>308439</v>
      </c>
      <c r="F474" s="1">
        <v>44631</v>
      </c>
      <c r="G474" s="11">
        <v>1</v>
      </c>
    </row>
    <row r="475" spans="1:7" x14ac:dyDescent="0.25">
      <c r="A475" s="6">
        <v>308442</v>
      </c>
      <c r="B475" s="1">
        <v>44601</v>
      </c>
      <c r="C475" s="11">
        <v>5</v>
      </c>
      <c r="E475" s="6">
        <v>308442</v>
      </c>
      <c r="F475" s="1">
        <v>44601</v>
      </c>
      <c r="G475" s="11">
        <v>5</v>
      </c>
    </row>
    <row r="476" spans="1:7" x14ac:dyDescent="0.25">
      <c r="A476" s="6">
        <v>308445</v>
      </c>
      <c r="B476" s="1">
        <v>44632</v>
      </c>
      <c r="C476" s="11">
        <v>4</v>
      </c>
      <c r="E476" s="6">
        <v>308445</v>
      </c>
      <c r="F476" s="1">
        <v>44632</v>
      </c>
      <c r="G476" s="11">
        <v>4</v>
      </c>
    </row>
    <row r="477" spans="1:7" x14ac:dyDescent="0.25">
      <c r="A477" s="6">
        <v>308446</v>
      </c>
      <c r="B477" s="1">
        <v>44698</v>
      </c>
      <c r="C477" s="11">
        <v>1</v>
      </c>
      <c r="E477" s="6">
        <v>308446</v>
      </c>
      <c r="F477" s="1">
        <v>44698</v>
      </c>
      <c r="G477" s="11">
        <v>1</v>
      </c>
    </row>
    <row r="478" spans="1:7" x14ac:dyDescent="0.25">
      <c r="A478" s="6">
        <v>308447</v>
      </c>
      <c r="B478" s="1">
        <v>44694</v>
      </c>
      <c r="C478" s="11">
        <v>5</v>
      </c>
      <c r="E478" s="6">
        <v>308447</v>
      </c>
      <c r="F478" s="1">
        <v>44694</v>
      </c>
      <c r="G478" s="11">
        <v>5</v>
      </c>
    </row>
    <row r="479" spans="1:7" x14ac:dyDescent="0.25">
      <c r="A479" s="6">
        <v>308451</v>
      </c>
      <c r="B479" s="1">
        <v>44696</v>
      </c>
      <c r="C479" s="11">
        <v>2</v>
      </c>
      <c r="E479" s="6">
        <v>308451</v>
      </c>
      <c r="F479" s="1">
        <v>44696</v>
      </c>
      <c r="G479" s="11">
        <v>2</v>
      </c>
    </row>
    <row r="480" spans="1:7" x14ac:dyDescent="0.25">
      <c r="A480" s="6">
        <v>308456</v>
      </c>
      <c r="B480" s="1">
        <v>44854</v>
      </c>
      <c r="C480" s="11">
        <v>6</v>
      </c>
      <c r="E480" s="6">
        <v>308456</v>
      </c>
      <c r="F480" s="1">
        <v>44854</v>
      </c>
      <c r="G480" s="11">
        <v>6</v>
      </c>
    </row>
    <row r="481" spans="1:7" x14ac:dyDescent="0.25">
      <c r="A481" s="6">
        <v>308461</v>
      </c>
      <c r="B481" s="1">
        <v>44737</v>
      </c>
      <c r="C481" s="11">
        <v>3</v>
      </c>
      <c r="E481" s="6">
        <v>308461</v>
      </c>
      <c r="F481" s="1">
        <v>44737</v>
      </c>
      <c r="G481" s="11">
        <v>3</v>
      </c>
    </row>
    <row r="482" spans="1:7" x14ac:dyDescent="0.25">
      <c r="A482" s="6">
        <v>308465</v>
      </c>
      <c r="B482" s="1">
        <v>44709</v>
      </c>
      <c r="C482" s="11">
        <v>2</v>
      </c>
      <c r="E482" s="6">
        <v>308465</v>
      </c>
      <c r="F482" s="1">
        <v>44709</v>
      </c>
      <c r="G482" s="11">
        <v>2</v>
      </c>
    </row>
    <row r="483" spans="1:7" x14ac:dyDescent="0.25">
      <c r="A483" s="6">
        <v>308468</v>
      </c>
      <c r="B483" s="1">
        <v>44699</v>
      </c>
      <c r="C483" s="11">
        <v>4</v>
      </c>
      <c r="E483" s="6">
        <v>308468</v>
      </c>
      <c r="F483" s="1">
        <v>44699</v>
      </c>
      <c r="G483" s="11">
        <v>4</v>
      </c>
    </row>
    <row r="484" spans="1:7" x14ac:dyDescent="0.25">
      <c r="A484" s="6">
        <v>308473</v>
      </c>
      <c r="B484" s="1">
        <v>44833</v>
      </c>
      <c r="C484" s="11">
        <v>5</v>
      </c>
      <c r="E484" s="6">
        <v>308473</v>
      </c>
      <c r="F484" s="1">
        <v>44833</v>
      </c>
      <c r="G484" s="11">
        <v>5</v>
      </c>
    </row>
    <row r="485" spans="1:7" x14ac:dyDescent="0.25">
      <c r="A485" s="6">
        <v>308474</v>
      </c>
      <c r="B485" s="1">
        <v>44589</v>
      </c>
      <c r="C485" s="11">
        <v>4</v>
      </c>
      <c r="E485" s="6">
        <v>308474</v>
      </c>
      <c r="F485" s="1">
        <v>44589</v>
      </c>
      <c r="G485" s="11">
        <v>4</v>
      </c>
    </row>
    <row r="486" spans="1:7" x14ac:dyDescent="0.25">
      <c r="A486" s="6">
        <v>308475</v>
      </c>
      <c r="B486" s="1">
        <v>44761</v>
      </c>
      <c r="C486" s="11">
        <v>3</v>
      </c>
      <c r="E486" s="6">
        <v>308475</v>
      </c>
      <c r="F486" s="1">
        <v>44761</v>
      </c>
      <c r="G486" s="11">
        <v>3</v>
      </c>
    </row>
    <row r="487" spans="1:7" x14ac:dyDescent="0.25">
      <c r="A487" s="6">
        <v>308479</v>
      </c>
      <c r="B487" s="1">
        <v>44761</v>
      </c>
      <c r="C487" s="11">
        <v>6</v>
      </c>
      <c r="E487" s="6">
        <v>308479</v>
      </c>
      <c r="F487" s="1">
        <v>44761</v>
      </c>
      <c r="G487" s="11">
        <v>6</v>
      </c>
    </row>
    <row r="488" spans="1:7" x14ac:dyDescent="0.25">
      <c r="A488" s="6">
        <v>308480</v>
      </c>
      <c r="B488" s="1">
        <v>44688</v>
      </c>
      <c r="C488" s="11">
        <v>4</v>
      </c>
      <c r="E488" s="6">
        <v>308480</v>
      </c>
      <c r="F488" s="1">
        <v>44688</v>
      </c>
      <c r="G488" s="11">
        <v>4</v>
      </c>
    </row>
    <row r="489" spans="1:7" x14ac:dyDescent="0.25">
      <c r="A489" s="6">
        <v>308481</v>
      </c>
      <c r="B489" s="1">
        <v>44855</v>
      </c>
      <c r="C489" s="11">
        <v>5</v>
      </c>
      <c r="E489" s="6">
        <v>308481</v>
      </c>
      <c r="F489" s="1">
        <v>44855</v>
      </c>
      <c r="G489" s="11">
        <v>5</v>
      </c>
    </row>
    <row r="490" spans="1:7" x14ac:dyDescent="0.25">
      <c r="A490" s="6">
        <v>308483</v>
      </c>
      <c r="B490" s="1">
        <v>44790</v>
      </c>
      <c r="C490" s="11">
        <v>4</v>
      </c>
      <c r="E490" s="6">
        <v>308483</v>
      </c>
      <c r="F490" s="1">
        <v>44790</v>
      </c>
      <c r="G490" s="11">
        <v>4</v>
      </c>
    </row>
    <row r="491" spans="1:7" x14ac:dyDescent="0.25">
      <c r="A491" s="6">
        <v>308488</v>
      </c>
      <c r="B491" s="1">
        <v>44600</v>
      </c>
      <c r="C491" s="11">
        <v>5</v>
      </c>
      <c r="E491" s="6">
        <v>308488</v>
      </c>
      <c r="F491" s="1">
        <v>44600</v>
      </c>
      <c r="G491" s="11">
        <v>5</v>
      </c>
    </row>
    <row r="492" spans="1:7" x14ac:dyDescent="0.25">
      <c r="A492" s="6">
        <v>308493</v>
      </c>
      <c r="B492" s="1">
        <v>44574</v>
      </c>
      <c r="C492" s="11">
        <v>2</v>
      </c>
      <c r="E492" s="6">
        <v>308493</v>
      </c>
      <c r="F492" s="1">
        <v>44574</v>
      </c>
      <c r="G492" s="11">
        <v>2</v>
      </c>
    </row>
    <row r="493" spans="1:7" x14ac:dyDescent="0.25">
      <c r="A493" s="6">
        <v>308496</v>
      </c>
      <c r="B493" s="1">
        <v>44681</v>
      </c>
      <c r="C493" s="11">
        <v>1</v>
      </c>
      <c r="E493" s="6">
        <v>308496</v>
      </c>
      <c r="F493" s="1">
        <v>44681</v>
      </c>
      <c r="G493" s="11">
        <v>1</v>
      </c>
    </row>
    <row r="494" spans="1:7" x14ac:dyDescent="0.25">
      <c r="A494" s="6">
        <v>308497</v>
      </c>
      <c r="B494" s="1">
        <v>44813</v>
      </c>
      <c r="C494" s="11">
        <v>1</v>
      </c>
      <c r="E494" s="6">
        <v>308497</v>
      </c>
      <c r="F494" s="1">
        <v>44813</v>
      </c>
      <c r="G494" s="11">
        <v>1</v>
      </c>
    </row>
    <row r="495" spans="1:7" x14ac:dyDescent="0.25">
      <c r="A495" s="6">
        <v>308498</v>
      </c>
      <c r="B495" s="1">
        <v>44783</v>
      </c>
      <c r="C495" s="11">
        <v>5</v>
      </c>
      <c r="E495" s="6">
        <v>308498</v>
      </c>
      <c r="F495" s="1">
        <v>44783</v>
      </c>
      <c r="G495" s="11">
        <v>5</v>
      </c>
    </row>
    <row r="496" spans="1:7" x14ac:dyDescent="0.25">
      <c r="A496" s="6">
        <v>308502</v>
      </c>
      <c r="B496" s="1">
        <v>44656</v>
      </c>
      <c r="C496" s="11">
        <v>1</v>
      </c>
      <c r="E496" s="6">
        <v>308502</v>
      </c>
      <c r="F496" s="1">
        <v>44656</v>
      </c>
      <c r="G496" s="11">
        <v>1</v>
      </c>
    </row>
    <row r="497" spans="1:7" x14ac:dyDescent="0.25">
      <c r="A497" s="6">
        <v>308506</v>
      </c>
      <c r="B497" s="1">
        <v>44715</v>
      </c>
      <c r="C497" s="11">
        <v>2</v>
      </c>
      <c r="E497" s="6">
        <v>308506</v>
      </c>
      <c r="F497" s="1">
        <v>44715</v>
      </c>
      <c r="G497" s="11">
        <v>2</v>
      </c>
    </row>
    <row r="498" spans="1:7" x14ac:dyDescent="0.25">
      <c r="A498" s="6">
        <v>308510</v>
      </c>
      <c r="B498" s="1">
        <v>44564</v>
      </c>
      <c r="C498" s="11">
        <v>3</v>
      </c>
      <c r="E498" s="6">
        <v>308510</v>
      </c>
      <c r="F498" s="1">
        <v>44564</v>
      </c>
      <c r="G498" s="11">
        <v>3</v>
      </c>
    </row>
    <row r="499" spans="1:7" x14ac:dyDescent="0.25">
      <c r="A499" s="6">
        <v>308513</v>
      </c>
      <c r="B499" s="1">
        <v>44820</v>
      </c>
      <c r="C499" s="11">
        <v>3</v>
      </c>
      <c r="E499" s="6">
        <v>308513</v>
      </c>
      <c r="F499" s="1">
        <v>44820</v>
      </c>
      <c r="G499" s="11">
        <v>3</v>
      </c>
    </row>
    <row r="500" spans="1:7" x14ac:dyDescent="0.25">
      <c r="A500" s="6">
        <v>308514</v>
      </c>
      <c r="B500" s="1">
        <v>44604</v>
      </c>
      <c r="C500" s="11">
        <v>4</v>
      </c>
      <c r="E500" s="6">
        <v>308514</v>
      </c>
      <c r="F500" s="1">
        <v>44604</v>
      </c>
      <c r="G500" s="11">
        <v>4</v>
      </c>
    </row>
    <row r="501" spans="1:7" x14ac:dyDescent="0.25">
      <c r="A501" s="6">
        <v>308515</v>
      </c>
      <c r="B501" s="1">
        <v>44581</v>
      </c>
      <c r="C501" s="11">
        <v>6</v>
      </c>
      <c r="E501" s="6">
        <v>308515</v>
      </c>
      <c r="F501" s="1">
        <v>44581</v>
      </c>
      <c r="G501" s="11">
        <v>6</v>
      </c>
    </row>
    <row r="502" spans="1:7" x14ac:dyDescent="0.25">
      <c r="A502" s="6">
        <v>308520</v>
      </c>
      <c r="B502" s="1">
        <v>44776</v>
      </c>
      <c r="C502" s="11">
        <v>1</v>
      </c>
      <c r="E502" s="6">
        <v>308520</v>
      </c>
      <c r="F502" s="1">
        <v>44776</v>
      </c>
      <c r="G502" s="11">
        <v>1</v>
      </c>
    </row>
    <row r="503" spans="1:7" x14ac:dyDescent="0.25">
      <c r="A503" s="6">
        <v>308524</v>
      </c>
      <c r="B503" s="1">
        <v>44729</v>
      </c>
      <c r="C503" s="11">
        <v>5</v>
      </c>
      <c r="E503" s="6">
        <v>308524</v>
      </c>
      <c r="F503" s="1">
        <v>44729</v>
      </c>
      <c r="G503" s="11">
        <v>5</v>
      </c>
    </row>
    <row r="504" spans="1:7" x14ac:dyDescent="0.25">
      <c r="A504" s="6">
        <v>308525</v>
      </c>
      <c r="B504" s="1">
        <v>44834</v>
      </c>
      <c r="C504" s="11">
        <v>1</v>
      </c>
      <c r="E504" s="6">
        <v>308525</v>
      </c>
      <c r="F504" s="1">
        <v>44834</v>
      </c>
      <c r="G504" s="11">
        <v>1</v>
      </c>
    </row>
    <row r="505" spans="1:7" x14ac:dyDescent="0.25">
      <c r="A505" s="6">
        <v>308526</v>
      </c>
      <c r="B505" s="1">
        <v>44586</v>
      </c>
      <c r="C505" s="11">
        <v>2</v>
      </c>
      <c r="E505" s="6">
        <v>308526</v>
      </c>
      <c r="F505" s="1">
        <v>44586</v>
      </c>
      <c r="G505" s="11">
        <v>2</v>
      </c>
    </row>
    <row r="506" spans="1:7" x14ac:dyDescent="0.25">
      <c r="A506" s="6">
        <v>308531</v>
      </c>
      <c r="B506" s="1">
        <v>44578</v>
      </c>
      <c r="C506" s="11">
        <v>2</v>
      </c>
      <c r="E506" s="6">
        <v>308531</v>
      </c>
      <c r="F506" s="1">
        <v>44578</v>
      </c>
      <c r="G506" s="11">
        <v>2</v>
      </c>
    </row>
    <row r="507" spans="1:7" x14ac:dyDescent="0.25">
      <c r="A507" s="6">
        <v>308534</v>
      </c>
      <c r="B507" s="1">
        <v>44812</v>
      </c>
      <c r="C507" s="11">
        <v>5</v>
      </c>
      <c r="E507" s="6">
        <v>308534</v>
      </c>
      <c r="F507" s="1">
        <v>44812</v>
      </c>
      <c r="G507" s="11">
        <v>5</v>
      </c>
    </row>
    <row r="508" spans="1:7" x14ac:dyDescent="0.25">
      <c r="A508" s="6">
        <v>308536</v>
      </c>
      <c r="B508" s="1">
        <v>44755</v>
      </c>
      <c r="C508" s="11">
        <v>4</v>
      </c>
      <c r="E508" s="6">
        <v>308536</v>
      </c>
      <c r="F508" s="1">
        <v>44755</v>
      </c>
      <c r="G508" s="11">
        <v>4</v>
      </c>
    </row>
    <row r="509" spans="1:7" x14ac:dyDescent="0.25">
      <c r="A509" s="6">
        <v>308540</v>
      </c>
      <c r="B509" s="1">
        <v>44595</v>
      </c>
      <c r="C509" s="11">
        <v>2</v>
      </c>
      <c r="E509" s="6">
        <v>308540</v>
      </c>
      <c r="F509" s="1">
        <v>44595</v>
      </c>
      <c r="G509" s="11">
        <v>2</v>
      </c>
    </row>
    <row r="510" spans="1:7" x14ac:dyDescent="0.25">
      <c r="A510" s="6">
        <v>308545</v>
      </c>
      <c r="B510" s="1">
        <v>44619</v>
      </c>
      <c r="C510" s="11">
        <v>1</v>
      </c>
      <c r="E510" s="6">
        <v>308545</v>
      </c>
      <c r="F510" s="1">
        <v>44619</v>
      </c>
      <c r="G510" s="11">
        <v>1</v>
      </c>
    </row>
    <row r="511" spans="1:7" x14ac:dyDescent="0.25">
      <c r="A511" s="6">
        <v>308549</v>
      </c>
      <c r="B511" s="1">
        <v>44618</v>
      </c>
      <c r="C511" s="11">
        <v>1</v>
      </c>
      <c r="E511" s="6">
        <v>308549</v>
      </c>
      <c r="F511" s="1">
        <v>44618</v>
      </c>
      <c r="G511" s="11">
        <v>1</v>
      </c>
    </row>
    <row r="512" spans="1:7" x14ac:dyDescent="0.25">
      <c r="A512" s="6">
        <v>308551</v>
      </c>
      <c r="B512" s="1">
        <v>44809</v>
      </c>
      <c r="C512" s="11">
        <v>5</v>
      </c>
      <c r="E512" s="6">
        <v>308551</v>
      </c>
      <c r="F512" s="1">
        <v>44809</v>
      </c>
      <c r="G512" s="11">
        <v>5</v>
      </c>
    </row>
    <row r="513" spans="1:7" x14ac:dyDescent="0.25">
      <c r="A513" s="6">
        <v>308555</v>
      </c>
      <c r="B513" s="1">
        <v>44848</v>
      </c>
      <c r="C513" s="11">
        <v>1</v>
      </c>
      <c r="E513" s="6">
        <v>308555</v>
      </c>
      <c r="F513" s="1">
        <v>44848</v>
      </c>
      <c r="G513" s="11">
        <v>1</v>
      </c>
    </row>
    <row r="514" spans="1:7" x14ac:dyDescent="0.25">
      <c r="A514" s="6">
        <v>308559</v>
      </c>
      <c r="B514" s="1">
        <v>44572</v>
      </c>
      <c r="C514" s="11">
        <v>1</v>
      </c>
      <c r="E514" s="6">
        <v>308559</v>
      </c>
      <c r="F514" s="1">
        <v>44572</v>
      </c>
      <c r="G514" s="11">
        <v>1</v>
      </c>
    </row>
    <row r="515" spans="1:7" x14ac:dyDescent="0.25">
      <c r="A515" s="6">
        <v>308564</v>
      </c>
      <c r="B515" s="1">
        <v>44813</v>
      </c>
      <c r="C515" s="11">
        <v>7</v>
      </c>
      <c r="E515" s="6">
        <v>308564</v>
      </c>
      <c r="F515" s="1">
        <v>44813</v>
      </c>
      <c r="G515" s="11">
        <v>7</v>
      </c>
    </row>
    <row r="516" spans="1:7" x14ac:dyDescent="0.25">
      <c r="A516" s="6">
        <v>308565</v>
      </c>
      <c r="B516" s="1">
        <v>44847</v>
      </c>
      <c r="C516" s="11">
        <v>1</v>
      </c>
      <c r="E516" s="6">
        <v>308565</v>
      </c>
      <c r="F516" s="1">
        <v>44847</v>
      </c>
      <c r="G516" s="11">
        <v>1</v>
      </c>
    </row>
    <row r="517" spans="1:7" x14ac:dyDescent="0.25">
      <c r="A517" s="6">
        <v>308569</v>
      </c>
      <c r="B517" s="1">
        <v>44737</v>
      </c>
      <c r="C517" s="11">
        <v>1</v>
      </c>
      <c r="E517" s="6">
        <v>308569</v>
      </c>
      <c r="F517" s="1">
        <v>44737</v>
      </c>
      <c r="G517" s="11">
        <v>1</v>
      </c>
    </row>
    <row r="518" spans="1:7" x14ac:dyDescent="0.25">
      <c r="A518" s="6">
        <v>308572</v>
      </c>
      <c r="B518" s="1">
        <v>44712</v>
      </c>
      <c r="C518" s="11">
        <v>1</v>
      </c>
      <c r="E518" s="6">
        <v>308572</v>
      </c>
      <c r="F518" s="1">
        <v>44712</v>
      </c>
      <c r="G518" s="11">
        <v>1</v>
      </c>
    </row>
    <row r="519" spans="1:7" x14ac:dyDescent="0.25">
      <c r="A519" s="6">
        <v>308576</v>
      </c>
      <c r="B519" s="1">
        <v>44847</v>
      </c>
      <c r="C519" s="11">
        <v>3</v>
      </c>
      <c r="E519" s="6">
        <v>308576</v>
      </c>
      <c r="F519" s="1">
        <v>44847</v>
      </c>
      <c r="G519" s="11">
        <v>3</v>
      </c>
    </row>
    <row r="520" spans="1:7" x14ac:dyDescent="0.25">
      <c r="A520" s="6">
        <v>308579</v>
      </c>
      <c r="B520" s="1">
        <v>44584</v>
      </c>
      <c r="C520" s="11">
        <v>1</v>
      </c>
      <c r="E520" s="6">
        <v>308579</v>
      </c>
      <c r="F520" s="1">
        <v>44584</v>
      </c>
      <c r="G520" s="11">
        <v>1</v>
      </c>
    </row>
    <row r="521" spans="1:7" x14ac:dyDescent="0.25">
      <c r="A521" s="6">
        <v>308582</v>
      </c>
      <c r="B521" s="1">
        <v>44826</v>
      </c>
      <c r="C521" s="11">
        <v>3</v>
      </c>
      <c r="E521" s="6">
        <v>308582</v>
      </c>
      <c r="F521" s="1">
        <v>44826</v>
      </c>
      <c r="G521" s="11">
        <v>3</v>
      </c>
    </row>
    <row r="522" spans="1:7" x14ac:dyDescent="0.25">
      <c r="A522" s="6">
        <v>308585</v>
      </c>
      <c r="B522" s="1">
        <v>44688</v>
      </c>
      <c r="C522" s="11">
        <v>2</v>
      </c>
      <c r="E522" s="6">
        <v>308585</v>
      </c>
      <c r="F522" s="1">
        <v>44688</v>
      </c>
      <c r="G522" s="11">
        <v>2</v>
      </c>
    </row>
    <row r="523" spans="1:7" x14ac:dyDescent="0.25">
      <c r="A523" s="6">
        <v>308589</v>
      </c>
      <c r="B523" s="1">
        <v>44744</v>
      </c>
      <c r="C523" s="11">
        <v>2</v>
      </c>
      <c r="E523" s="6">
        <v>308589</v>
      </c>
      <c r="F523" s="1">
        <v>44744</v>
      </c>
      <c r="G523" s="11">
        <v>2</v>
      </c>
    </row>
    <row r="524" spans="1:7" x14ac:dyDescent="0.25">
      <c r="A524" s="6">
        <v>308594</v>
      </c>
      <c r="B524" s="1">
        <v>44721</v>
      </c>
      <c r="C524" s="11">
        <v>2</v>
      </c>
      <c r="E524" s="6">
        <v>308594</v>
      </c>
      <c r="F524" s="1">
        <v>44721</v>
      </c>
      <c r="G524" s="11">
        <v>2</v>
      </c>
    </row>
    <row r="525" spans="1:7" x14ac:dyDescent="0.25">
      <c r="A525" s="6">
        <v>308599</v>
      </c>
      <c r="B525" s="1">
        <v>44602</v>
      </c>
      <c r="C525" s="11">
        <v>2</v>
      </c>
      <c r="E525" s="6">
        <v>308599</v>
      </c>
      <c r="F525" s="1">
        <v>44602</v>
      </c>
      <c r="G525" s="11">
        <v>2</v>
      </c>
    </row>
    <row r="526" spans="1:7" x14ac:dyDescent="0.25">
      <c r="A526" s="6">
        <v>308603</v>
      </c>
      <c r="B526" s="1">
        <v>44822</v>
      </c>
      <c r="C526" s="11">
        <v>1</v>
      </c>
      <c r="E526" s="6">
        <v>308603</v>
      </c>
      <c r="F526" s="1">
        <v>44822</v>
      </c>
      <c r="G526" s="11">
        <v>1</v>
      </c>
    </row>
    <row r="527" spans="1:7" x14ac:dyDescent="0.25">
      <c r="A527" s="6">
        <v>308605</v>
      </c>
      <c r="B527" s="1">
        <v>44576</v>
      </c>
      <c r="C527" s="11">
        <v>1</v>
      </c>
      <c r="E527" s="6">
        <v>308605</v>
      </c>
      <c r="F527" s="1">
        <v>44576</v>
      </c>
      <c r="G527" s="11">
        <v>1</v>
      </c>
    </row>
    <row r="528" spans="1:7" x14ac:dyDescent="0.25">
      <c r="A528" s="6">
        <v>308608</v>
      </c>
      <c r="B528" s="1">
        <v>44759</v>
      </c>
      <c r="C528" s="11">
        <v>1</v>
      </c>
      <c r="E528" s="6">
        <v>308608</v>
      </c>
      <c r="F528" s="1">
        <v>44759</v>
      </c>
      <c r="G528" s="11">
        <v>1</v>
      </c>
    </row>
    <row r="529" spans="1:7" x14ac:dyDescent="0.25">
      <c r="A529" s="6">
        <v>308612</v>
      </c>
      <c r="B529" s="1">
        <v>44747</v>
      </c>
      <c r="C529" s="11">
        <v>5</v>
      </c>
      <c r="E529" s="6">
        <v>308612</v>
      </c>
      <c r="F529" s="1">
        <v>44747</v>
      </c>
      <c r="G529" s="11">
        <v>5</v>
      </c>
    </row>
    <row r="530" spans="1:7" x14ac:dyDescent="0.25">
      <c r="A530" s="6">
        <v>308616</v>
      </c>
      <c r="B530" s="1">
        <v>44630</v>
      </c>
      <c r="C530" s="11">
        <v>4</v>
      </c>
      <c r="E530" s="6">
        <v>308616</v>
      </c>
      <c r="F530" s="1">
        <v>44630</v>
      </c>
      <c r="G530" s="11">
        <v>4</v>
      </c>
    </row>
    <row r="531" spans="1:7" x14ac:dyDescent="0.25">
      <c r="A531" s="6">
        <v>308621</v>
      </c>
      <c r="B531" s="1">
        <v>44739</v>
      </c>
      <c r="C531" s="11">
        <v>6</v>
      </c>
      <c r="E531" s="6">
        <v>308621</v>
      </c>
      <c r="F531" s="1">
        <v>44739</v>
      </c>
      <c r="G531" s="11">
        <v>6</v>
      </c>
    </row>
    <row r="532" spans="1:7" x14ac:dyDescent="0.25">
      <c r="A532" s="6">
        <v>308623</v>
      </c>
      <c r="B532" s="1">
        <v>44617</v>
      </c>
      <c r="C532" s="11">
        <v>3</v>
      </c>
      <c r="E532" s="6">
        <v>308623</v>
      </c>
      <c r="F532" s="1">
        <v>44617</v>
      </c>
      <c r="G532" s="11">
        <v>3</v>
      </c>
    </row>
    <row r="533" spans="1:7" x14ac:dyDescent="0.25">
      <c r="A533" s="6">
        <v>308625</v>
      </c>
      <c r="B533" s="1">
        <v>44658</v>
      </c>
      <c r="C533" s="11">
        <v>7</v>
      </c>
      <c r="E533" s="6">
        <v>308625</v>
      </c>
      <c r="F533" s="1">
        <v>44658</v>
      </c>
      <c r="G533" s="11">
        <v>7</v>
      </c>
    </row>
    <row r="534" spans="1:7" x14ac:dyDescent="0.25">
      <c r="A534" s="6">
        <v>308626</v>
      </c>
      <c r="B534" s="1">
        <v>44716</v>
      </c>
      <c r="C534" s="11">
        <v>7</v>
      </c>
      <c r="E534" s="6">
        <v>308626</v>
      </c>
      <c r="F534" s="1">
        <v>44716</v>
      </c>
      <c r="G534" s="11">
        <v>7</v>
      </c>
    </row>
    <row r="535" spans="1:7" x14ac:dyDescent="0.25">
      <c r="A535" s="6">
        <v>308629</v>
      </c>
      <c r="B535" s="1">
        <v>44784</v>
      </c>
      <c r="C535" s="11">
        <v>1</v>
      </c>
      <c r="E535" s="6">
        <v>308629</v>
      </c>
      <c r="F535" s="1">
        <v>44784</v>
      </c>
      <c r="G535" s="11">
        <v>1</v>
      </c>
    </row>
    <row r="536" spans="1:7" x14ac:dyDescent="0.25">
      <c r="A536" s="6">
        <v>308630</v>
      </c>
      <c r="B536" s="1">
        <v>44626</v>
      </c>
      <c r="C536" s="11">
        <v>4</v>
      </c>
      <c r="E536" s="6">
        <v>308630</v>
      </c>
      <c r="F536" s="1">
        <v>44626</v>
      </c>
      <c r="G536" s="11">
        <v>4</v>
      </c>
    </row>
    <row r="537" spans="1:7" x14ac:dyDescent="0.25">
      <c r="A537" s="6">
        <v>308633</v>
      </c>
      <c r="B537" s="1">
        <v>44776</v>
      </c>
      <c r="C537" s="11">
        <v>2</v>
      </c>
      <c r="E537" s="6">
        <v>308633</v>
      </c>
      <c r="F537" s="1">
        <v>44776</v>
      </c>
      <c r="G537" s="11">
        <v>2</v>
      </c>
    </row>
    <row r="538" spans="1:7" x14ac:dyDescent="0.25">
      <c r="A538" s="6">
        <v>308634</v>
      </c>
      <c r="B538" s="1">
        <v>44847</v>
      </c>
      <c r="C538" s="11">
        <v>1</v>
      </c>
      <c r="E538" s="6">
        <v>308634</v>
      </c>
      <c r="F538" s="1">
        <v>44847</v>
      </c>
      <c r="G538" s="11">
        <v>1</v>
      </c>
    </row>
    <row r="539" spans="1:7" x14ac:dyDescent="0.25">
      <c r="A539" s="6">
        <v>308635</v>
      </c>
      <c r="B539" s="1">
        <v>44658</v>
      </c>
      <c r="C539" s="11">
        <v>6</v>
      </c>
      <c r="E539" s="6">
        <v>308635</v>
      </c>
      <c r="F539" s="1">
        <v>44658</v>
      </c>
      <c r="G539" s="11">
        <v>6</v>
      </c>
    </row>
    <row r="540" spans="1:7" x14ac:dyDescent="0.25">
      <c r="A540" s="6">
        <v>308636</v>
      </c>
      <c r="B540" s="1">
        <v>44817</v>
      </c>
      <c r="C540" s="11">
        <v>3</v>
      </c>
      <c r="E540" s="6">
        <v>308636</v>
      </c>
      <c r="F540" s="1">
        <v>44817</v>
      </c>
      <c r="G540" s="11">
        <v>3</v>
      </c>
    </row>
    <row r="541" spans="1:7" x14ac:dyDescent="0.25">
      <c r="A541" s="6">
        <v>308641</v>
      </c>
      <c r="B541" s="1">
        <v>44627</v>
      </c>
      <c r="C541" s="11">
        <v>2</v>
      </c>
      <c r="E541" s="6">
        <v>308641</v>
      </c>
      <c r="F541" s="1">
        <v>44627</v>
      </c>
      <c r="G541" s="11">
        <v>2</v>
      </c>
    </row>
    <row r="542" spans="1:7" x14ac:dyDescent="0.25">
      <c r="A542" s="6">
        <v>308642</v>
      </c>
      <c r="B542" s="1">
        <v>44631</v>
      </c>
      <c r="C542" s="11">
        <v>5</v>
      </c>
      <c r="E542" s="6">
        <v>308642</v>
      </c>
      <c r="F542" s="1">
        <v>44631</v>
      </c>
      <c r="G542" s="11">
        <v>5</v>
      </c>
    </row>
    <row r="543" spans="1:7" x14ac:dyDescent="0.25">
      <c r="A543" s="6">
        <v>308643</v>
      </c>
      <c r="B543" s="1">
        <v>44838</v>
      </c>
      <c r="C543" s="11">
        <v>3</v>
      </c>
      <c r="E543" s="6">
        <v>308643</v>
      </c>
      <c r="F543" s="1">
        <v>44838</v>
      </c>
      <c r="G543" s="11">
        <v>3</v>
      </c>
    </row>
    <row r="544" spans="1:7" x14ac:dyDescent="0.25">
      <c r="A544" s="6">
        <v>308648</v>
      </c>
      <c r="B544" s="1">
        <v>44638</v>
      </c>
      <c r="C544" s="11">
        <v>1</v>
      </c>
      <c r="E544" s="6">
        <v>308648</v>
      </c>
      <c r="F544" s="1">
        <v>44638</v>
      </c>
      <c r="G544" s="11">
        <v>1</v>
      </c>
    </row>
    <row r="545" spans="1:7" x14ac:dyDescent="0.25">
      <c r="A545" s="6">
        <v>308650</v>
      </c>
      <c r="B545" s="1">
        <v>44703</v>
      </c>
      <c r="C545" s="11">
        <v>1</v>
      </c>
      <c r="E545" s="6">
        <v>308650</v>
      </c>
      <c r="F545" s="1">
        <v>44703</v>
      </c>
      <c r="G545" s="11">
        <v>1</v>
      </c>
    </row>
    <row r="546" spans="1:7" x14ac:dyDescent="0.25">
      <c r="A546" s="6">
        <v>308654</v>
      </c>
      <c r="B546" s="1">
        <v>44671</v>
      </c>
      <c r="C546" s="11">
        <v>2</v>
      </c>
      <c r="E546" s="6">
        <v>308654</v>
      </c>
      <c r="F546" s="1">
        <v>44671</v>
      </c>
      <c r="G546" s="11">
        <v>2</v>
      </c>
    </row>
    <row r="547" spans="1:7" x14ac:dyDescent="0.25">
      <c r="A547" s="6">
        <v>308659</v>
      </c>
      <c r="B547" s="1">
        <v>44626</v>
      </c>
      <c r="C547" s="11">
        <v>1</v>
      </c>
      <c r="E547" s="6">
        <v>308659</v>
      </c>
      <c r="F547" s="1">
        <v>44626</v>
      </c>
      <c r="G547" s="11">
        <v>1</v>
      </c>
    </row>
    <row r="548" spans="1:7" x14ac:dyDescent="0.25">
      <c r="A548" s="6">
        <v>308664</v>
      </c>
      <c r="B548" s="1">
        <v>44839</v>
      </c>
      <c r="C548" s="11">
        <v>7</v>
      </c>
      <c r="E548" s="6">
        <v>308664</v>
      </c>
      <c r="F548" s="1">
        <v>44839</v>
      </c>
      <c r="G548" s="11">
        <v>7</v>
      </c>
    </row>
    <row r="549" spans="1:7" x14ac:dyDescent="0.25">
      <c r="A549" s="6">
        <v>308668</v>
      </c>
      <c r="B549" s="1">
        <v>44638</v>
      </c>
      <c r="C549" s="11">
        <v>2</v>
      </c>
      <c r="E549" s="6">
        <v>308668</v>
      </c>
      <c r="F549" s="1">
        <v>44638</v>
      </c>
      <c r="G549" s="11">
        <v>2</v>
      </c>
    </row>
    <row r="550" spans="1:7" x14ac:dyDescent="0.25">
      <c r="A550" s="6">
        <v>308672</v>
      </c>
      <c r="B550" s="1">
        <v>44675</v>
      </c>
      <c r="C550" s="11">
        <v>7</v>
      </c>
      <c r="E550" s="6">
        <v>308672</v>
      </c>
      <c r="F550" s="1">
        <v>44675</v>
      </c>
      <c r="G550" s="11">
        <v>7</v>
      </c>
    </row>
    <row r="551" spans="1:7" x14ac:dyDescent="0.25">
      <c r="A551" s="6">
        <v>308677</v>
      </c>
      <c r="B551" s="1">
        <v>44800</v>
      </c>
      <c r="C551" s="11">
        <v>4</v>
      </c>
      <c r="E551" s="6">
        <v>308677</v>
      </c>
      <c r="F551" s="1">
        <v>44800</v>
      </c>
      <c r="G551" s="11">
        <v>4</v>
      </c>
    </row>
    <row r="552" spans="1:7" x14ac:dyDescent="0.25">
      <c r="A552" s="6">
        <v>308680</v>
      </c>
      <c r="B552" s="1">
        <v>44835</v>
      </c>
      <c r="C552" s="11">
        <v>2</v>
      </c>
      <c r="E552" s="6">
        <v>308680</v>
      </c>
      <c r="F552" s="1">
        <v>44835</v>
      </c>
      <c r="G552" s="11">
        <v>2</v>
      </c>
    </row>
    <row r="553" spans="1:7" x14ac:dyDescent="0.25">
      <c r="A553" s="6">
        <v>308682</v>
      </c>
      <c r="B553" s="1">
        <v>44859</v>
      </c>
      <c r="C553" s="11">
        <v>3</v>
      </c>
      <c r="E553" s="6">
        <v>308682</v>
      </c>
      <c r="F553" s="1">
        <v>44859</v>
      </c>
      <c r="G553" s="11">
        <v>3</v>
      </c>
    </row>
    <row r="554" spans="1:7" x14ac:dyDescent="0.25">
      <c r="A554" s="6">
        <v>308687</v>
      </c>
      <c r="B554" s="1">
        <v>44800</v>
      </c>
      <c r="C554" s="11">
        <v>5</v>
      </c>
      <c r="E554" s="6">
        <v>308687</v>
      </c>
      <c r="F554" s="1">
        <v>44800</v>
      </c>
      <c r="G554" s="11">
        <v>5</v>
      </c>
    </row>
    <row r="555" spans="1:7" x14ac:dyDescent="0.25">
      <c r="A555" s="6">
        <v>308688</v>
      </c>
      <c r="B555" s="1">
        <v>44850</v>
      </c>
      <c r="C555" s="11">
        <v>3</v>
      </c>
      <c r="E555" s="6">
        <v>308688</v>
      </c>
      <c r="F555" s="1">
        <v>44850</v>
      </c>
      <c r="G555" s="11">
        <v>3</v>
      </c>
    </row>
    <row r="556" spans="1:7" x14ac:dyDescent="0.25">
      <c r="A556" s="6">
        <v>308691</v>
      </c>
      <c r="B556" s="1">
        <v>44710</v>
      </c>
      <c r="C556" s="11">
        <v>4</v>
      </c>
      <c r="E556" s="6">
        <v>308691</v>
      </c>
      <c r="F556" s="1">
        <v>44710</v>
      </c>
      <c r="G556" s="11">
        <v>4</v>
      </c>
    </row>
    <row r="557" spans="1:7" x14ac:dyDescent="0.25">
      <c r="A557" s="6">
        <v>308696</v>
      </c>
      <c r="B557" s="1">
        <v>44755</v>
      </c>
      <c r="C557" s="11">
        <v>2</v>
      </c>
      <c r="E557" s="6">
        <v>308696</v>
      </c>
      <c r="F557" s="1">
        <v>44755</v>
      </c>
      <c r="G557" s="11">
        <v>2</v>
      </c>
    </row>
    <row r="558" spans="1:7" x14ac:dyDescent="0.25">
      <c r="A558" s="6">
        <v>308700</v>
      </c>
      <c r="B558" s="1">
        <v>44833</v>
      </c>
      <c r="C558" s="11">
        <v>1</v>
      </c>
      <c r="E558" s="6">
        <v>308700</v>
      </c>
      <c r="F558" s="1">
        <v>44833</v>
      </c>
      <c r="G558" s="11">
        <v>1</v>
      </c>
    </row>
    <row r="559" spans="1:7" x14ac:dyDescent="0.25">
      <c r="A559" s="6">
        <v>308703</v>
      </c>
      <c r="B559" s="1">
        <v>44769</v>
      </c>
      <c r="C559" s="11">
        <v>3</v>
      </c>
      <c r="E559" s="6">
        <v>308703</v>
      </c>
      <c r="F559" s="1">
        <v>44769</v>
      </c>
      <c r="G559" s="11">
        <v>3</v>
      </c>
    </row>
    <row r="560" spans="1:7" x14ac:dyDescent="0.25">
      <c r="A560" s="6">
        <v>308706</v>
      </c>
      <c r="B560" s="1">
        <v>44648</v>
      </c>
      <c r="C560" s="11">
        <v>4</v>
      </c>
      <c r="E560" s="6">
        <v>308706</v>
      </c>
      <c r="F560" s="1">
        <v>44648</v>
      </c>
      <c r="G560" s="11">
        <v>4</v>
      </c>
    </row>
    <row r="561" spans="1:7" x14ac:dyDescent="0.25">
      <c r="A561" s="6">
        <v>308710</v>
      </c>
      <c r="B561" s="1">
        <v>44743</v>
      </c>
      <c r="C561" s="11">
        <v>2</v>
      </c>
      <c r="E561" s="6">
        <v>308710</v>
      </c>
      <c r="F561" s="1">
        <v>44743</v>
      </c>
      <c r="G561" s="11">
        <v>2</v>
      </c>
    </row>
    <row r="562" spans="1:7" x14ac:dyDescent="0.25">
      <c r="A562" s="6">
        <v>308713</v>
      </c>
      <c r="B562" s="1">
        <v>44801</v>
      </c>
      <c r="C562" s="11">
        <v>1</v>
      </c>
      <c r="E562" s="6">
        <v>308713</v>
      </c>
      <c r="F562" s="1">
        <v>44801</v>
      </c>
      <c r="G562" s="11">
        <v>1</v>
      </c>
    </row>
    <row r="563" spans="1:7" x14ac:dyDescent="0.25">
      <c r="A563" s="6">
        <v>308717</v>
      </c>
      <c r="B563" s="1">
        <v>44832</v>
      </c>
      <c r="C563" s="11">
        <v>4</v>
      </c>
      <c r="E563" s="6">
        <v>308717</v>
      </c>
      <c r="F563" s="1">
        <v>44832</v>
      </c>
      <c r="G563" s="11">
        <v>4</v>
      </c>
    </row>
    <row r="564" spans="1:7" x14ac:dyDescent="0.25">
      <c r="A564" s="6">
        <v>308718</v>
      </c>
      <c r="B564" s="1">
        <v>44637</v>
      </c>
      <c r="C564" s="11">
        <v>2</v>
      </c>
      <c r="E564" s="6">
        <v>308718</v>
      </c>
      <c r="F564" s="1">
        <v>44637</v>
      </c>
      <c r="G564" s="11">
        <v>2</v>
      </c>
    </row>
    <row r="565" spans="1:7" x14ac:dyDescent="0.25">
      <c r="A565" s="6">
        <v>308723</v>
      </c>
      <c r="B565" s="1">
        <v>44818</v>
      </c>
      <c r="C565" s="11">
        <v>3</v>
      </c>
      <c r="E565" s="6">
        <v>308723</v>
      </c>
      <c r="F565" s="1">
        <v>44818</v>
      </c>
      <c r="G565" s="11">
        <v>3</v>
      </c>
    </row>
    <row r="566" spans="1:7" x14ac:dyDescent="0.25">
      <c r="A566" s="6">
        <v>308725</v>
      </c>
      <c r="B566" s="1">
        <v>44659</v>
      </c>
      <c r="C566" s="11">
        <v>5</v>
      </c>
      <c r="E566" s="6">
        <v>308725</v>
      </c>
      <c r="F566" s="1">
        <v>44659</v>
      </c>
      <c r="G566" s="11">
        <v>5</v>
      </c>
    </row>
    <row r="567" spans="1:7" x14ac:dyDescent="0.25">
      <c r="A567" s="6">
        <v>308726</v>
      </c>
      <c r="B567" s="1">
        <v>44564</v>
      </c>
      <c r="C567" s="11">
        <v>2</v>
      </c>
      <c r="E567" s="6">
        <v>308726</v>
      </c>
      <c r="F567" s="1">
        <v>44564</v>
      </c>
      <c r="G567" s="11">
        <v>2</v>
      </c>
    </row>
    <row r="568" spans="1:7" x14ac:dyDescent="0.25">
      <c r="A568" s="6">
        <v>308728</v>
      </c>
      <c r="B568" s="1">
        <v>44803</v>
      </c>
      <c r="C568" s="11">
        <v>2</v>
      </c>
      <c r="E568" s="6">
        <v>308728</v>
      </c>
      <c r="F568" s="1">
        <v>44803</v>
      </c>
      <c r="G568" s="11">
        <v>2</v>
      </c>
    </row>
    <row r="569" spans="1:7" x14ac:dyDescent="0.25">
      <c r="A569" s="6">
        <v>308731</v>
      </c>
      <c r="B569" s="1">
        <v>44823</v>
      </c>
      <c r="C569" s="11">
        <v>6</v>
      </c>
      <c r="E569" s="6">
        <v>308731</v>
      </c>
      <c r="F569" s="1">
        <v>44823</v>
      </c>
      <c r="G569" s="11">
        <v>6</v>
      </c>
    </row>
    <row r="570" spans="1:7" x14ac:dyDescent="0.25">
      <c r="A570" s="6">
        <v>308732</v>
      </c>
      <c r="B570" s="1">
        <v>44852</v>
      </c>
      <c r="C570" s="11">
        <v>2</v>
      </c>
      <c r="E570" s="6">
        <v>308732</v>
      </c>
      <c r="F570" s="1">
        <v>44852</v>
      </c>
      <c r="G570" s="11">
        <v>2</v>
      </c>
    </row>
    <row r="571" spans="1:7" x14ac:dyDescent="0.25">
      <c r="A571" s="6">
        <v>308733</v>
      </c>
      <c r="B571" s="1">
        <v>44636</v>
      </c>
      <c r="C571" s="11">
        <v>5</v>
      </c>
      <c r="E571" s="6">
        <v>308733</v>
      </c>
      <c r="F571" s="1">
        <v>44636</v>
      </c>
      <c r="G571" s="11">
        <v>5</v>
      </c>
    </row>
    <row r="572" spans="1:7" x14ac:dyDescent="0.25">
      <c r="A572" s="6">
        <v>308737</v>
      </c>
      <c r="B572" s="1">
        <v>44580</v>
      </c>
      <c r="C572" s="11">
        <v>5</v>
      </c>
      <c r="E572" s="6">
        <v>308737</v>
      </c>
      <c r="F572" s="1">
        <v>44580</v>
      </c>
      <c r="G572" s="11">
        <v>5</v>
      </c>
    </row>
    <row r="573" spans="1:7" x14ac:dyDescent="0.25">
      <c r="A573" s="6">
        <v>308740</v>
      </c>
      <c r="B573" s="1">
        <v>44831</v>
      </c>
      <c r="C573" s="11">
        <v>3</v>
      </c>
      <c r="E573" s="6">
        <v>308740</v>
      </c>
      <c r="F573" s="1">
        <v>44831</v>
      </c>
      <c r="G573" s="11">
        <v>3</v>
      </c>
    </row>
    <row r="574" spans="1:7" x14ac:dyDescent="0.25">
      <c r="A574" s="6">
        <v>308741</v>
      </c>
      <c r="B574" s="1">
        <v>44801</v>
      </c>
      <c r="C574" s="11">
        <v>2</v>
      </c>
      <c r="E574" s="6">
        <v>308741</v>
      </c>
      <c r="F574" s="1">
        <v>44801</v>
      </c>
      <c r="G574" s="11">
        <v>2</v>
      </c>
    </row>
    <row r="575" spans="1:7" x14ac:dyDescent="0.25">
      <c r="A575" s="6">
        <v>308742</v>
      </c>
      <c r="B575" s="1">
        <v>44599</v>
      </c>
      <c r="C575" s="11">
        <v>1</v>
      </c>
      <c r="E575" s="6">
        <v>308742</v>
      </c>
      <c r="F575" s="1">
        <v>44599</v>
      </c>
      <c r="G575" s="11">
        <v>1</v>
      </c>
    </row>
    <row r="576" spans="1:7" x14ac:dyDescent="0.25">
      <c r="A576" s="6">
        <v>308744</v>
      </c>
      <c r="B576" s="1">
        <v>44856</v>
      </c>
      <c r="C576" s="11">
        <v>2</v>
      </c>
      <c r="E576" s="6">
        <v>308744</v>
      </c>
      <c r="F576" s="1">
        <v>44856</v>
      </c>
      <c r="G576" s="11">
        <v>2</v>
      </c>
    </row>
    <row r="577" spans="1:7" x14ac:dyDescent="0.25">
      <c r="A577" s="6">
        <v>308745</v>
      </c>
      <c r="B577" s="1">
        <v>44619</v>
      </c>
      <c r="C577" s="11">
        <v>6</v>
      </c>
      <c r="E577" s="6">
        <v>308745</v>
      </c>
      <c r="F577" s="1">
        <v>44619</v>
      </c>
      <c r="G577" s="11">
        <v>6</v>
      </c>
    </row>
    <row r="578" spans="1:7" x14ac:dyDescent="0.25">
      <c r="A578" s="6">
        <v>308750</v>
      </c>
      <c r="B578" s="1">
        <v>44682</v>
      </c>
      <c r="C578" s="11">
        <v>1</v>
      </c>
      <c r="E578" s="6">
        <v>308750</v>
      </c>
      <c r="F578" s="1">
        <v>44682</v>
      </c>
      <c r="G578" s="11">
        <v>1</v>
      </c>
    </row>
    <row r="579" spans="1:7" x14ac:dyDescent="0.25">
      <c r="A579" s="6">
        <v>308753</v>
      </c>
      <c r="B579" s="1">
        <v>44693</v>
      </c>
      <c r="C579" s="11">
        <v>2</v>
      </c>
      <c r="E579" s="6">
        <v>308753</v>
      </c>
      <c r="F579" s="1">
        <v>44693</v>
      </c>
      <c r="G579" s="11">
        <v>2</v>
      </c>
    </row>
    <row r="580" spans="1:7" x14ac:dyDescent="0.25">
      <c r="A580" s="6">
        <v>308757</v>
      </c>
      <c r="B580" s="1">
        <v>44643</v>
      </c>
      <c r="C580" s="11">
        <v>2</v>
      </c>
      <c r="E580" s="6">
        <v>308757</v>
      </c>
      <c r="F580" s="1">
        <v>44643</v>
      </c>
      <c r="G580" s="11">
        <v>2</v>
      </c>
    </row>
    <row r="581" spans="1:7" x14ac:dyDescent="0.25">
      <c r="A581" s="6">
        <v>308759</v>
      </c>
      <c r="B581" s="1">
        <v>44793</v>
      </c>
      <c r="C581" s="11">
        <v>4</v>
      </c>
      <c r="E581" s="6">
        <v>308759</v>
      </c>
      <c r="F581" s="1">
        <v>44793</v>
      </c>
      <c r="G581" s="11">
        <v>4</v>
      </c>
    </row>
    <row r="582" spans="1:7" x14ac:dyDescent="0.25">
      <c r="A582" s="6">
        <v>308762</v>
      </c>
      <c r="B582" s="1">
        <v>44825</v>
      </c>
      <c r="C582" s="11">
        <v>2</v>
      </c>
      <c r="E582" s="6">
        <v>308762</v>
      </c>
      <c r="F582" s="1">
        <v>44825</v>
      </c>
      <c r="G582" s="11">
        <v>2</v>
      </c>
    </row>
    <row r="583" spans="1:7" x14ac:dyDescent="0.25">
      <c r="A583" s="6">
        <v>308766</v>
      </c>
      <c r="B583" s="1">
        <v>44723</v>
      </c>
      <c r="C583" s="11">
        <v>1</v>
      </c>
      <c r="E583" s="6">
        <v>308766</v>
      </c>
      <c r="F583" s="1">
        <v>44723</v>
      </c>
      <c r="G583" s="11">
        <v>1</v>
      </c>
    </row>
    <row r="584" spans="1:7" x14ac:dyDescent="0.25">
      <c r="A584" s="6">
        <v>308767</v>
      </c>
      <c r="B584" s="1">
        <v>44673</v>
      </c>
      <c r="C584" s="11">
        <v>5</v>
      </c>
      <c r="E584" s="6">
        <v>308767</v>
      </c>
      <c r="F584" s="1">
        <v>44673</v>
      </c>
      <c r="G584" s="11">
        <v>5</v>
      </c>
    </row>
    <row r="585" spans="1:7" x14ac:dyDescent="0.25">
      <c r="A585" s="6">
        <v>308768</v>
      </c>
      <c r="B585" s="1">
        <v>44628</v>
      </c>
      <c r="C585" s="11">
        <v>2</v>
      </c>
      <c r="E585" s="6">
        <v>308768</v>
      </c>
      <c r="F585" s="1">
        <v>44628</v>
      </c>
      <c r="G585" s="11">
        <v>2</v>
      </c>
    </row>
    <row r="586" spans="1:7" x14ac:dyDescent="0.25">
      <c r="A586" s="6">
        <v>308772</v>
      </c>
      <c r="B586" s="1">
        <v>44805</v>
      </c>
      <c r="C586" s="11">
        <v>3</v>
      </c>
      <c r="E586" s="6">
        <v>308772</v>
      </c>
      <c r="F586" s="1">
        <v>44805</v>
      </c>
      <c r="G586" s="11">
        <v>3</v>
      </c>
    </row>
    <row r="587" spans="1:7" x14ac:dyDescent="0.25">
      <c r="A587" s="6">
        <v>308777</v>
      </c>
      <c r="B587" s="1">
        <v>44726</v>
      </c>
      <c r="C587" s="11">
        <v>1</v>
      </c>
      <c r="E587" s="6">
        <v>308777</v>
      </c>
      <c r="F587" s="1">
        <v>44726</v>
      </c>
      <c r="G587" s="11">
        <v>1</v>
      </c>
    </row>
    <row r="588" spans="1:7" x14ac:dyDescent="0.25">
      <c r="A588" s="6">
        <v>308778</v>
      </c>
      <c r="B588" s="1">
        <v>44796</v>
      </c>
      <c r="C588" s="11">
        <v>4</v>
      </c>
      <c r="E588" s="6">
        <v>308778</v>
      </c>
      <c r="F588" s="1">
        <v>44796</v>
      </c>
      <c r="G588" s="11">
        <v>4</v>
      </c>
    </row>
    <row r="589" spans="1:7" x14ac:dyDescent="0.25">
      <c r="A589" s="6">
        <v>308781</v>
      </c>
      <c r="B589" s="1">
        <v>44738</v>
      </c>
      <c r="C589" s="11">
        <v>1</v>
      </c>
      <c r="E589" s="6">
        <v>308781</v>
      </c>
      <c r="F589" s="1">
        <v>44738</v>
      </c>
      <c r="G589" s="11">
        <v>1</v>
      </c>
    </row>
    <row r="590" spans="1:7" x14ac:dyDescent="0.25">
      <c r="A590" s="6">
        <v>308785</v>
      </c>
      <c r="B590" s="1">
        <v>44662</v>
      </c>
      <c r="C590" s="11">
        <v>3</v>
      </c>
      <c r="E590" s="6">
        <v>308785</v>
      </c>
      <c r="F590" s="1">
        <v>44662</v>
      </c>
      <c r="G590" s="11">
        <v>3</v>
      </c>
    </row>
    <row r="591" spans="1:7" x14ac:dyDescent="0.25">
      <c r="A591" s="6">
        <v>308788</v>
      </c>
      <c r="B591" s="1">
        <v>44770</v>
      </c>
      <c r="C591" s="11">
        <v>5</v>
      </c>
      <c r="E591" s="6">
        <v>308788</v>
      </c>
      <c r="F591" s="1">
        <v>44770</v>
      </c>
      <c r="G591" s="11">
        <v>5</v>
      </c>
    </row>
    <row r="592" spans="1:7" x14ac:dyDescent="0.25">
      <c r="A592" s="6">
        <v>308792</v>
      </c>
      <c r="B592" s="1">
        <v>44771</v>
      </c>
      <c r="C592" s="11">
        <v>2</v>
      </c>
      <c r="E592" s="6">
        <v>308792</v>
      </c>
      <c r="F592" s="1">
        <v>44771</v>
      </c>
      <c r="G592" s="11">
        <v>2</v>
      </c>
    </row>
    <row r="593" spans="1:7" x14ac:dyDescent="0.25">
      <c r="A593" s="6">
        <v>308795</v>
      </c>
      <c r="B593" s="1">
        <v>44735</v>
      </c>
      <c r="C593" s="11">
        <v>1</v>
      </c>
      <c r="E593" s="6">
        <v>308795</v>
      </c>
      <c r="F593" s="1">
        <v>44735</v>
      </c>
      <c r="G593" s="11">
        <v>1</v>
      </c>
    </row>
    <row r="594" spans="1:7" x14ac:dyDescent="0.25">
      <c r="A594" s="6">
        <v>308799</v>
      </c>
      <c r="B594" s="1">
        <v>44564</v>
      </c>
      <c r="C594" s="11">
        <v>3</v>
      </c>
      <c r="E594" s="6">
        <v>308799</v>
      </c>
      <c r="F594" s="1">
        <v>44564</v>
      </c>
      <c r="G594" s="11">
        <v>3</v>
      </c>
    </row>
    <row r="595" spans="1:7" x14ac:dyDescent="0.25">
      <c r="A595" s="6">
        <v>308803</v>
      </c>
      <c r="B595" s="1">
        <v>44768</v>
      </c>
      <c r="C595" s="11">
        <v>1</v>
      </c>
      <c r="E595" s="6">
        <v>308803</v>
      </c>
      <c r="F595" s="1">
        <v>44768</v>
      </c>
      <c r="G595" s="11">
        <v>1</v>
      </c>
    </row>
    <row r="596" spans="1:7" x14ac:dyDescent="0.25">
      <c r="A596" s="6">
        <v>308806</v>
      </c>
      <c r="B596" s="1">
        <v>44634</v>
      </c>
      <c r="C596" s="11">
        <v>1</v>
      </c>
      <c r="E596" s="6">
        <v>308806</v>
      </c>
      <c r="F596" s="1">
        <v>44634</v>
      </c>
      <c r="G596" s="11">
        <v>1</v>
      </c>
    </row>
    <row r="597" spans="1:7" x14ac:dyDescent="0.25">
      <c r="A597" s="6">
        <v>308809</v>
      </c>
      <c r="B597" s="1">
        <v>44752</v>
      </c>
      <c r="C597" s="11">
        <v>2</v>
      </c>
      <c r="E597" s="6">
        <v>308809</v>
      </c>
      <c r="F597" s="1">
        <v>44752</v>
      </c>
      <c r="G597" s="11">
        <v>2</v>
      </c>
    </row>
    <row r="598" spans="1:7" x14ac:dyDescent="0.25">
      <c r="A598" s="6">
        <v>308814</v>
      </c>
      <c r="B598" s="1">
        <v>44761</v>
      </c>
      <c r="C598" s="11">
        <v>2</v>
      </c>
      <c r="E598" s="6">
        <v>308814</v>
      </c>
      <c r="F598" s="1">
        <v>44761</v>
      </c>
      <c r="G598" s="11">
        <v>2</v>
      </c>
    </row>
    <row r="599" spans="1:7" x14ac:dyDescent="0.25">
      <c r="A599" s="6">
        <v>308817</v>
      </c>
      <c r="B599" s="1">
        <v>44623</v>
      </c>
      <c r="C599" s="11">
        <v>1</v>
      </c>
      <c r="E599" s="6">
        <v>308817</v>
      </c>
      <c r="F599" s="1">
        <v>44623</v>
      </c>
      <c r="G599" s="11">
        <v>1</v>
      </c>
    </row>
    <row r="600" spans="1:7" x14ac:dyDescent="0.25">
      <c r="A600" s="6">
        <v>308819</v>
      </c>
      <c r="B600" s="1">
        <v>44779</v>
      </c>
      <c r="C600" s="11">
        <v>6</v>
      </c>
      <c r="E600" s="6">
        <v>308819</v>
      </c>
      <c r="F600" s="1">
        <v>44779</v>
      </c>
      <c r="G600" s="11">
        <v>6</v>
      </c>
    </row>
    <row r="601" spans="1:7" x14ac:dyDescent="0.25">
      <c r="A601" s="6">
        <v>308822</v>
      </c>
      <c r="B601" s="1">
        <v>44629</v>
      </c>
      <c r="C601" s="11">
        <v>1</v>
      </c>
      <c r="E601" s="6">
        <v>308822</v>
      </c>
      <c r="F601" s="1">
        <v>44629</v>
      </c>
      <c r="G601" s="11">
        <v>1</v>
      </c>
    </row>
    <row r="602" spans="1:7" x14ac:dyDescent="0.25">
      <c r="A602" s="6">
        <v>308826</v>
      </c>
      <c r="B602" s="1">
        <v>44603</v>
      </c>
      <c r="C602" s="11">
        <v>1</v>
      </c>
      <c r="E602" s="6">
        <v>308826</v>
      </c>
      <c r="F602" s="1">
        <v>44603</v>
      </c>
      <c r="G602" s="11">
        <v>1</v>
      </c>
    </row>
    <row r="603" spans="1:7" x14ac:dyDescent="0.25">
      <c r="A603" s="6">
        <v>308828</v>
      </c>
      <c r="B603" s="1">
        <v>44709</v>
      </c>
      <c r="C603" s="11">
        <v>1</v>
      </c>
      <c r="E603" s="6">
        <v>308828</v>
      </c>
      <c r="F603" s="1">
        <v>44709</v>
      </c>
      <c r="G603" s="11">
        <v>1</v>
      </c>
    </row>
    <row r="604" spans="1:7" x14ac:dyDescent="0.25">
      <c r="A604" s="6">
        <v>308830</v>
      </c>
      <c r="B604" s="1">
        <v>44677</v>
      </c>
      <c r="C604" s="11">
        <v>6</v>
      </c>
      <c r="E604" s="6">
        <v>308830</v>
      </c>
      <c r="F604" s="1">
        <v>44677</v>
      </c>
      <c r="G604" s="11">
        <v>6</v>
      </c>
    </row>
    <row r="605" spans="1:7" x14ac:dyDescent="0.25">
      <c r="A605" s="6">
        <v>308834</v>
      </c>
      <c r="B605" s="1">
        <v>44809</v>
      </c>
      <c r="C605" s="11">
        <v>2</v>
      </c>
      <c r="E605" s="6">
        <v>308834</v>
      </c>
      <c r="F605" s="1">
        <v>44809</v>
      </c>
      <c r="G605" s="11">
        <v>2</v>
      </c>
    </row>
    <row r="606" spans="1:7" x14ac:dyDescent="0.25">
      <c r="A606" s="6">
        <v>308836</v>
      </c>
      <c r="B606" s="1">
        <v>44664</v>
      </c>
      <c r="C606" s="11">
        <v>2</v>
      </c>
      <c r="E606" s="6">
        <v>308836</v>
      </c>
      <c r="F606" s="1">
        <v>44664</v>
      </c>
      <c r="G606" s="11">
        <v>2</v>
      </c>
    </row>
    <row r="607" spans="1:7" x14ac:dyDescent="0.25">
      <c r="A607" s="6">
        <v>308840</v>
      </c>
      <c r="B607" s="1">
        <v>44720</v>
      </c>
      <c r="C607" s="11">
        <v>3</v>
      </c>
      <c r="E607" s="6">
        <v>308840</v>
      </c>
      <c r="F607" s="1">
        <v>44720</v>
      </c>
      <c r="G607" s="11">
        <v>3</v>
      </c>
    </row>
    <row r="608" spans="1:7" x14ac:dyDescent="0.25">
      <c r="A608" s="6">
        <v>308842</v>
      </c>
      <c r="B608" s="1">
        <v>44680</v>
      </c>
      <c r="C608" s="11">
        <v>1</v>
      </c>
      <c r="E608" s="6">
        <v>308842</v>
      </c>
      <c r="F608" s="1">
        <v>44680</v>
      </c>
      <c r="G608" s="11">
        <v>1</v>
      </c>
    </row>
    <row r="609" spans="1:7" x14ac:dyDescent="0.25">
      <c r="A609" s="6">
        <v>308844</v>
      </c>
      <c r="B609" s="1">
        <v>44826</v>
      </c>
      <c r="C609" s="11">
        <v>2</v>
      </c>
      <c r="E609" s="6">
        <v>308844</v>
      </c>
      <c r="F609" s="1">
        <v>44826</v>
      </c>
      <c r="G609" s="11">
        <v>2</v>
      </c>
    </row>
    <row r="610" spans="1:7" x14ac:dyDescent="0.25">
      <c r="A610" s="6">
        <v>308847</v>
      </c>
      <c r="B610" s="1">
        <v>44689</v>
      </c>
      <c r="C610" s="11">
        <v>5</v>
      </c>
      <c r="E610" s="6">
        <v>308847</v>
      </c>
      <c r="F610" s="1">
        <v>44689</v>
      </c>
      <c r="G610" s="11">
        <v>5</v>
      </c>
    </row>
    <row r="611" spans="1:7" x14ac:dyDescent="0.25">
      <c r="A611" s="6">
        <v>308849</v>
      </c>
      <c r="B611" s="1">
        <v>44772</v>
      </c>
      <c r="C611" s="11">
        <v>2</v>
      </c>
      <c r="E611" s="6">
        <v>308849</v>
      </c>
      <c r="F611" s="1">
        <v>44772</v>
      </c>
      <c r="G611" s="11">
        <v>2</v>
      </c>
    </row>
    <row r="612" spans="1:7" x14ac:dyDescent="0.25">
      <c r="A612" s="6">
        <v>308851</v>
      </c>
      <c r="B612" s="1">
        <v>44675</v>
      </c>
      <c r="C612" s="11">
        <v>3</v>
      </c>
      <c r="E612" s="6">
        <v>308851</v>
      </c>
      <c r="F612" s="1">
        <v>44675</v>
      </c>
      <c r="G612" s="11">
        <v>3</v>
      </c>
    </row>
    <row r="613" spans="1:7" x14ac:dyDescent="0.25">
      <c r="A613" s="6">
        <v>308852</v>
      </c>
      <c r="B613" s="1">
        <v>44570</v>
      </c>
      <c r="C613" s="11">
        <v>1</v>
      </c>
      <c r="E613" s="6">
        <v>308852</v>
      </c>
      <c r="F613" s="1">
        <v>44570</v>
      </c>
      <c r="G613" s="11">
        <v>1</v>
      </c>
    </row>
    <row r="614" spans="1:7" x14ac:dyDescent="0.25">
      <c r="A614" s="6">
        <v>308854</v>
      </c>
      <c r="B614" s="1">
        <v>44697</v>
      </c>
      <c r="C614" s="11">
        <v>1</v>
      </c>
      <c r="E614" s="6">
        <v>308854</v>
      </c>
      <c r="F614" s="1">
        <v>44697</v>
      </c>
      <c r="G614" s="11">
        <v>1</v>
      </c>
    </row>
    <row r="615" spans="1:7" x14ac:dyDescent="0.25">
      <c r="A615" s="6">
        <v>308857</v>
      </c>
      <c r="B615" s="1">
        <v>44752</v>
      </c>
      <c r="C615" s="11">
        <v>5</v>
      </c>
      <c r="E615" s="6">
        <v>308857</v>
      </c>
      <c r="F615" s="1">
        <v>44752</v>
      </c>
      <c r="G615" s="11">
        <v>5</v>
      </c>
    </row>
    <row r="616" spans="1:7" x14ac:dyDescent="0.25">
      <c r="A616" s="6">
        <v>308858</v>
      </c>
      <c r="B616" s="1">
        <v>44702</v>
      </c>
      <c r="C616" s="11">
        <v>3</v>
      </c>
      <c r="E616" s="6">
        <v>308858</v>
      </c>
      <c r="F616" s="1">
        <v>44702</v>
      </c>
      <c r="G616" s="11">
        <v>3</v>
      </c>
    </row>
    <row r="617" spans="1:7" x14ac:dyDescent="0.25">
      <c r="A617" s="6">
        <v>308859</v>
      </c>
      <c r="B617" s="1">
        <v>44712</v>
      </c>
      <c r="C617" s="11">
        <v>2</v>
      </c>
      <c r="E617" s="6">
        <v>308859</v>
      </c>
      <c r="F617" s="1">
        <v>44712</v>
      </c>
      <c r="G617" s="11">
        <v>2</v>
      </c>
    </row>
    <row r="618" spans="1:7" x14ac:dyDescent="0.25">
      <c r="A618" s="6">
        <v>308861</v>
      </c>
      <c r="B618" s="1">
        <v>44611</v>
      </c>
      <c r="C618" s="11">
        <v>4</v>
      </c>
      <c r="E618" s="6">
        <v>308861</v>
      </c>
      <c r="F618" s="1">
        <v>44611</v>
      </c>
      <c r="G618" s="11">
        <v>4</v>
      </c>
    </row>
    <row r="619" spans="1:7" x14ac:dyDescent="0.25">
      <c r="A619" s="6">
        <v>308862</v>
      </c>
      <c r="B619" s="1">
        <v>44672</v>
      </c>
      <c r="C619" s="11">
        <v>1</v>
      </c>
      <c r="E619" s="6">
        <v>308862</v>
      </c>
      <c r="F619" s="1">
        <v>44672</v>
      </c>
      <c r="G619" s="11">
        <v>1</v>
      </c>
    </row>
    <row r="620" spans="1:7" x14ac:dyDescent="0.25">
      <c r="A620" s="6">
        <v>308863</v>
      </c>
      <c r="B620" s="1">
        <v>44806</v>
      </c>
      <c r="C620" s="11">
        <v>1</v>
      </c>
      <c r="E620" s="6">
        <v>308863</v>
      </c>
      <c r="F620" s="1">
        <v>44806</v>
      </c>
      <c r="G620" s="11">
        <v>1</v>
      </c>
    </row>
    <row r="621" spans="1:7" x14ac:dyDescent="0.25">
      <c r="A621" s="6">
        <v>308865</v>
      </c>
      <c r="B621" s="1">
        <v>44672</v>
      </c>
      <c r="C621" s="11">
        <v>3</v>
      </c>
      <c r="E621" s="6">
        <v>308865</v>
      </c>
      <c r="F621" s="1">
        <v>44672</v>
      </c>
      <c r="G621" s="11">
        <v>3</v>
      </c>
    </row>
    <row r="622" spans="1:7" x14ac:dyDescent="0.25">
      <c r="A622" s="6">
        <v>308868</v>
      </c>
      <c r="B622" s="1">
        <v>44837</v>
      </c>
      <c r="C622" s="11">
        <v>2</v>
      </c>
      <c r="E622" s="6">
        <v>308868</v>
      </c>
      <c r="F622" s="1">
        <v>44837</v>
      </c>
      <c r="G622" s="11">
        <v>2</v>
      </c>
    </row>
    <row r="623" spans="1:7" x14ac:dyDescent="0.25">
      <c r="A623" s="6">
        <v>308871</v>
      </c>
      <c r="B623" s="1">
        <v>44578</v>
      </c>
      <c r="C623" s="11">
        <v>2</v>
      </c>
      <c r="E623" s="6">
        <v>308871</v>
      </c>
      <c r="F623" s="1">
        <v>44578</v>
      </c>
      <c r="G623" s="11">
        <v>2</v>
      </c>
    </row>
    <row r="624" spans="1:7" x14ac:dyDescent="0.25">
      <c r="A624" s="6">
        <v>308872</v>
      </c>
      <c r="B624" s="1">
        <v>44589</v>
      </c>
      <c r="C624" s="11">
        <v>6</v>
      </c>
      <c r="E624" s="6">
        <v>308872</v>
      </c>
      <c r="F624" s="1">
        <v>44589</v>
      </c>
      <c r="G624" s="11">
        <v>6</v>
      </c>
    </row>
    <row r="625" spans="1:7" x14ac:dyDescent="0.25">
      <c r="A625" s="6">
        <v>308873</v>
      </c>
      <c r="B625" s="1">
        <v>44859</v>
      </c>
      <c r="C625" s="11">
        <v>2</v>
      </c>
      <c r="E625" s="6">
        <v>308873</v>
      </c>
      <c r="F625" s="1">
        <v>44859</v>
      </c>
      <c r="G625" s="11">
        <v>2</v>
      </c>
    </row>
    <row r="626" spans="1:7" x14ac:dyDescent="0.25">
      <c r="A626" s="6">
        <v>308877</v>
      </c>
      <c r="B626" s="1">
        <v>44805</v>
      </c>
      <c r="C626" s="11">
        <v>3</v>
      </c>
      <c r="E626" s="6">
        <v>308877</v>
      </c>
      <c r="F626" s="1">
        <v>44805</v>
      </c>
      <c r="G626" s="11">
        <v>3</v>
      </c>
    </row>
    <row r="627" spans="1:7" x14ac:dyDescent="0.25">
      <c r="A627" s="6">
        <v>308879</v>
      </c>
      <c r="B627" s="1">
        <v>44591</v>
      </c>
      <c r="C627" s="11">
        <v>1</v>
      </c>
      <c r="E627" s="6">
        <v>308879</v>
      </c>
      <c r="F627" s="1">
        <v>44591</v>
      </c>
      <c r="G627" s="11">
        <v>1</v>
      </c>
    </row>
    <row r="628" spans="1:7" x14ac:dyDescent="0.25">
      <c r="A628" s="6">
        <v>308883</v>
      </c>
      <c r="B628" s="1">
        <v>44849</v>
      </c>
      <c r="C628" s="11">
        <v>5</v>
      </c>
      <c r="E628" s="6">
        <v>308883</v>
      </c>
      <c r="F628" s="1">
        <v>44849</v>
      </c>
      <c r="G628" s="11">
        <v>5</v>
      </c>
    </row>
    <row r="629" spans="1:7" x14ac:dyDescent="0.25">
      <c r="A629" s="6">
        <v>308886</v>
      </c>
      <c r="B629" s="1">
        <v>44645</v>
      </c>
      <c r="C629" s="11">
        <v>3</v>
      </c>
      <c r="E629" s="6">
        <v>308886</v>
      </c>
      <c r="F629" s="1">
        <v>44645</v>
      </c>
      <c r="G629" s="11">
        <v>3</v>
      </c>
    </row>
    <row r="630" spans="1:7" x14ac:dyDescent="0.25">
      <c r="A630" s="6">
        <v>308889</v>
      </c>
      <c r="B630" s="1">
        <v>44636</v>
      </c>
      <c r="C630" s="11">
        <v>2</v>
      </c>
      <c r="E630" s="6">
        <v>308889</v>
      </c>
      <c r="F630" s="1">
        <v>44636</v>
      </c>
      <c r="G630" s="11">
        <v>2</v>
      </c>
    </row>
    <row r="631" spans="1:7" x14ac:dyDescent="0.25">
      <c r="A631" s="6">
        <v>308890</v>
      </c>
      <c r="B631" s="1">
        <v>44615</v>
      </c>
      <c r="C631" s="11">
        <v>5</v>
      </c>
      <c r="E631" s="6">
        <v>308890</v>
      </c>
      <c r="F631" s="1">
        <v>44615</v>
      </c>
      <c r="G631" s="11">
        <v>5</v>
      </c>
    </row>
    <row r="632" spans="1:7" x14ac:dyDescent="0.25">
      <c r="A632" s="6">
        <v>308893</v>
      </c>
      <c r="B632" s="1">
        <v>44656</v>
      </c>
      <c r="C632" s="11">
        <v>2</v>
      </c>
      <c r="E632" s="6">
        <v>308893</v>
      </c>
      <c r="F632" s="1">
        <v>44656</v>
      </c>
      <c r="G632" s="11">
        <v>2</v>
      </c>
    </row>
    <row r="633" spans="1:7" x14ac:dyDescent="0.25">
      <c r="A633" s="6">
        <v>308895</v>
      </c>
      <c r="B633" s="1">
        <v>44706</v>
      </c>
      <c r="C633" s="11">
        <v>5</v>
      </c>
      <c r="E633" s="6">
        <v>308895</v>
      </c>
      <c r="F633" s="1">
        <v>44706</v>
      </c>
      <c r="G633" s="11">
        <v>5</v>
      </c>
    </row>
    <row r="634" spans="1:7" x14ac:dyDescent="0.25">
      <c r="A634" s="6">
        <v>308898</v>
      </c>
      <c r="B634" s="1">
        <v>44643</v>
      </c>
      <c r="C634" s="11">
        <v>1</v>
      </c>
      <c r="E634" s="6">
        <v>308898</v>
      </c>
      <c r="F634" s="1">
        <v>44643</v>
      </c>
      <c r="G634" s="11">
        <v>1</v>
      </c>
    </row>
    <row r="635" spans="1:7" x14ac:dyDescent="0.25">
      <c r="A635" s="6">
        <v>308903</v>
      </c>
      <c r="B635" s="1">
        <v>44761</v>
      </c>
      <c r="C635" s="11">
        <v>5</v>
      </c>
      <c r="E635" s="6">
        <v>308903</v>
      </c>
      <c r="F635" s="1">
        <v>44761</v>
      </c>
      <c r="G635" s="11">
        <v>5</v>
      </c>
    </row>
    <row r="636" spans="1:7" x14ac:dyDescent="0.25">
      <c r="A636" s="6">
        <v>308906</v>
      </c>
      <c r="B636" s="1">
        <v>44819</v>
      </c>
      <c r="C636" s="11">
        <v>1</v>
      </c>
      <c r="E636" s="6">
        <v>308906</v>
      </c>
      <c r="F636" s="1">
        <v>44819</v>
      </c>
      <c r="G636" s="11">
        <v>1</v>
      </c>
    </row>
    <row r="637" spans="1:7" x14ac:dyDescent="0.25">
      <c r="A637" s="6">
        <v>308911</v>
      </c>
      <c r="B637" s="1">
        <v>44812</v>
      </c>
      <c r="C637" s="11">
        <v>3</v>
      </c>
      <c r="E637" s="6">
        <v>308911</v>
      </c>
      <c r="F637" s="1">
        <v>44812</v>
      </c>
      <c r="G637" s="11">
        <v>3</v>
      </c>
    </row>
    <row r="638" spans="1:7" x14ac:dyDescent="0.25">
      <c r="A638" s="6">
        <v>308915</v>
      </c>
      <c r="B638" s="1">
        <v>44725</v>
      </c>
      <c r="C638" s="11">
        <v>1</v>
      </c>
      <c r="E638" s="6">
        <v>308915</v>
      </c>
      <c r="F638" s="1">
        <v>44725</v>
      </c>
      <c r="G638" s="11">
        <v>1</v>
      </c>
    </row>
    <row r="639" spans="1:7" x14ac:dyDescent="0.25">
      <c r="A639" s="6">
        <v>308917</v>
      </c>
      <c r="B639" s="1">
        <v>44571</v>
      </c>
      <c r="C639" s="11">
        <v>2</v>
      </c>
      <c r="E639" s="6">
        <v>308917</v>
      </c>
      <c r="F639" s="1">
        <v>44571</v>
      </c>
      <c r="G639" s="11">
        <v>2</v>
      </c>
    </row>
    <row r="640" spans="1:7" x14ac:dyDescent="0.25">
      <c r="A640" s="6">
        <v>308918</v>
      </c>
      <c r="B640" s="1">
        <v>44821</v>
      </c>
      <c r="C640" s="11">
        <v>2</v>
      </c>
      <c r="E640" s="6">
        <v>308918</v>
      </c>
      <c r="F640" s="1">
        <v>44821</v>
      </c>
      <c r="G640" s="11">
        <v>2</v>
      </c>
    </row>
    <row r="641" spans="1:7" x14ac:dyDescent="0.25">
      <c r="A641" s="6">
        <v>308923</v>
      </c>
      <c r="B641" s="1">
        <v>44571</v>
      </c>
      <c r="C641" s="11">
        <v>1</v>
      </c>
      <c r="E641" s="6">
        <v>308923</v>
      </c>
      <c r="F641" s="1">
        <v>44571</v>
      </c>
      <c r="G641" s="11">
        <v>1</v>
      </c>
    </row>
    <row r="642" spans="1:7" x14ac:dyDescent="0.25">
      <c r="A642" s="6">
        <v>308927</v>
      </c>
      <c r="B642" s="1">
        <v>44773</v>
      </c>
      <c r="C642" s="11">
        <v>6</v>
      </c>
      <c r="E642" s="6">
        <v>308927</v>
      </c>
      <c r="F642" s="1">
        <v>44773</v>
      </c>
      <c r="G642" s="11">
        <v>6</v>
      </c>
    </row>
    <row r="643" spans="1:7" x14ac:dyDescent="0.25">
      <c r="A643" s="6">
        <v>308930</v>
      </c>
      <c r="B643" s="1">
        <v>44603</v>
      </c>
      <c r="C643" s="11">
        <v>2</v>
      </c>
      <c r="E643" s="6">
        <v>308930</v>
      </c>
      <c r="F643" s="1">
        <v>44603</v>
      </c>
      <c r="G643" s="11">
        <v>2</v>
      </c>
    </row>
    <row r="644" spans="1:7" x14ac:dyDescent="0.25">
      <c r="A644" s="6">
        <v>308931</v>
      </c>
      <c r="B644" s="1">
        <v>44640</v>
      </c>
      <c r="C644" s="11">
        <v>1</v>
      </c>
      <c r="E644" s="6">
        <v>308931</v>
      </c>
      <c r="F644" s="1">
        <v>44640</v>
      </c>
      <c r="G644" s="11">
        <v>1</v>
      </c>
    </row>
    <row r="645" spans="1:7" x14ac:dyDescent="0.25">
      <c r="A645" s="6">
        <v>308934</v>
      </c>
      <c r="B645" s="1">
        <v>44780</v>
      </c>
      <c r="C645" s="11">
        <v>1</v>
      </c>
      <c r="E645" s="6">
        <v>308934</v>
      </c>
      <c r="F645" s="1">
        <v>44780</v>
      </c>
      <c r="G645" s="11">
        <v>1</v>
      </c>
    </row>
    <row r="646" spans="1:7" x14ac:dyDescent="0.25">
      <c r="A646" s="6">
        <v>308935</v>
      </c>
      <c r="B646" s="1">
        <v>44671</v>
      </c>
      <c r="C646" s="11">
        <v>5</v>
      </c>
      <c r="E646" s="6">
        <v>308935</v>
      </c>
      <c r="F646" s="1">
        <v>44671</v>
      </c>
      <c r="G646" s="11">
        <v>5</v>
      </c>
    </row>
    <row r="647" spans="1:7" x14ac:dyDescent="0.25">
      <c r="A647" s="6">
        <v>308937</v>
      </c>
      <c r="B647" s="1">
        <v>44793</v>
      </c>
      <c r="C647" s="11">
        <v>6</v>
      </c>
      <c r="E647" s="6">
        <v>308937</v>
      </c>
      <c r="F647" s="1">
        <v>44793</v>
      </c>
      <c r="G647" s="11">
        <v>6</v>
      </c>
    </row>
    <row r="648" spans="1:7" x14ac:dyDescent="0.25">
      <c r="A648" s="6">
        <v>308942</v>
      </c>
      <c r="B648" s="1">
        <v>44628</v>
      </c>
      <c r="C648" s="11">
        <v>5</v>
      </c>
      <c r="E648" s="6">
        <v>308942</v>
      </c>
      <c r="F648" s="1">
        <v>44628</v>
      </c>
      <c r="G648" s="11">
        <v>5</v>
      </c>
    </row>
    <row r="649" spans="1:7" x14ac:dyDescent="0.25">
      <c r="A649" s="6">
        <v>308946</v>
      </c>
      <c r="B649" s="1">
        <v>44654</v>
      </c>
      <c r="C649" s="11">
        <v>3</v>
      </c>
      <c r="E649" s="6">
        <v>308946</v>
      </c>
      <c r="F649" s="1">
        <v>44654</v>
      </c>
      <c r="G649" s="11">
        <v>3</v>
      </c>
    </row>
    <row r="650" spans="1:7" x14ac:dyDescent="0.25">
      <c r="A650" s="6">
        <v>308948</v>
      </c>
      <c r="B650" s="1">
        <v>44842</v>
      </c>
      <c r="C650" s="11">
        <v>3</v>
      </c>
      <c r="E650" s="6">
        <v>308948</v>
      </c>
      <c r="F650" s="1">
        <v>44842</v>
      </c>
      <c r="G650" s="11">
        <v>3</v>
      </c>
    </row>
    <row r="651" spans="1:7" x14ac:dyDescent="0.25">
      <c r="A651" s="6">
        <v>308952</v>
      </c>
      <c r="B651" s="1">
        <v>44776</v>
      </c>
      <c r="C651" s="11">
        <v>3</v>
      </c>
      <c r="E651" s="6">
        <v>308952</v>
      </c>
      <c r="F651" s="1">
        <v>44776</v>
      </c>
      <c r="G651" s="11">
        <v>3</v>
      </c>
    </row>
    <row r="652" spans="1:7" x14ac:dyDescent="0.25">
      <c r="A652" s="6">
        <v>308954</v>
      </c>
      <c r="B652" s="1">
        <v>44854</v>
      </c>
      <c r="C652" s="11">
        <v>2</v>
      </c>
      <c r="E652" s="6">
        <v>308954</v>
      </c>
      <c r="F652" s="1">
        <v>44854</v>
      </c>
      <c r="G652" s="11">
        <v>2</v>
      </c>
    </row>
    <row r="653" spans="1:7" x14ac:dyDescent="0.25">
      <c r="A653" s="6">
        <v>308957</v>
      </c>
      <c r="B653" s="1">
        <v>44732</v>
      </c>
      <c r="C653" s="11">
        <v>4</v>
      </c>
      <c r="E653" s="6">
        <v>308957</v>
      </c>
      <c r="F653" s="1">
        <v>44732</v>
      </c>
      <c r="G653" s="11">
        <v>4</v>
      </c>
    </row>
    <row r="654" spans="1:7" x14ac:dyDescent="0.25">
      <c r="A654" s="6">
        <v>308960</v>
      </c>
      <c r="B654" s="1">
        <v>44667</v>
      </c>
      <c r="C654" s="11">
        <v>2</v>
      </c>
      <c r="E654" s="6">
        <v>308960</v>
      </c>
      <c r="F654" s="1">
        <v>44667</v>
      </c>
      <c r="G654" s="11">
        <v>2</v>
      </c>
    </row>
    <row r="655" spans="1:7" x14ac:dyDescent="0.25">
      <c r="A655" s="6">
        <v>308964</v>
      </c>
      <c r="B655" s="1">
        <v>44786</v>
      </c>
      <c r="C655" s="11">
        <v>5</v>
      </c>
      <c r="E655" s="6">
        <v>308964</v>
      </c>
      <c r="F655" s="1">
        <v>44786</v>
      </c>
      <c r="G655" s="11">
        <v>5</v>
      </c>
    </row>
    <row r="656" spans="1:7" x14ac:dyDescent="0.25">
      <c r="A656" s="6">
        <v>308969</v>
      </c>
      <c r="B656" s="1">
        <v>44845</v>
      </c>
      <c r="C656" s="11">
        <v>2</v>
      </c>
      <c r="E656" s="6">
        <v>308969</v>
      </c>
      <c r="F656" s="1">
        <v>44845</v>
      </c>
      <c r="G656" s="11">
        <v>2</v>
      </c>
    </row>
    <row r="657" spans="1:7" x14ac:dyDescent="0.25">
      <c r="A657" s="6">
        <v>308973</v>
      </c>
      <c r="B657" s="1">
        <v>44758</v>
      </c>
      <c r="C657" s="11">
        <v>1</v>
      </c>
      <c r="E657" s="6">
        <v>308973</v>
      </c>
      <c r="F657" s="1">
        <v>44758</v>
      </c>
      <c r="G657" s="11">
        <v>1</v>
      </c>
    </row>
    <row r="658" spans="1:7" x14ac:dyDescent="0.25">
      <c r="A658" s="6">
        <v>308978</v>
      </c>
      <c r="B658" s="1">
        <v>44742</v>
      </c>
      <c r="C658" s="11">
        <v>1</v>
      </c>
      <c r="E658" s="6">
        <v>308978</v>
      </c>
      <c r="F658" s="1">
        <v>44742</v>
      </c>
      <c r="G658" s="11">
        <v>1</v>
      </c>
    </row>
    <row r="659" spans="1:7" x14ac:dyDescent="0.25">
      <c r="A659" s="6">
        <v>308980</v>
      </c>
      <c r="B659" s="1">
        <v>44577</v>
      </c>
      <c r="C659" s="11">
        <v>3</v>
      </c>
      <c r="E659" s="6">
        <v>308980</v>
      </c>
      <c r="F659" s="1">
        <v>44577</v>
      </c>
      <c r="G659" s="11">
        <v>3</v>
      </c>
    </row>
    <row r="660" spans="1:7" x14ac:dyDescent="0.25">
      <c r="A660" s="6">
        <v>308981</v>
      </c>
      <c r="B660" s="1">
        <v>44652</v>
      </c>
      <c r="C660" s="11">
        <v>1</v>
      </c>
      <c r="E660" s="6">
        <v>308981</v>
      </c>
      <c r="F660" s="1">
        <v>44652</v>
      </c>
      <c r="G660" s="11">
        <v>1</v>
      </c>
    </row>
    <row r="661" spans="1:7" x14ac:dyDescent="0.25">
      <c r="A661" s="6">
        <v>308986</v>
      </c>
      <c r="B661" s="1">
        <v>44666</v>
      </c>
      <c r="C661" s="11">
        <v>2</v>
      </c>
      <c r="E661" s="6">
        <v>308986</v>
      </c>
      <c r="F661" s="1">
        <v>44666</v>
      </c>
      <c r="G661" s="11">
        <v>2</v>
      </c>
    </row>
    <row r="662" spans="1:7" x14ac:dyDescent="0.25">
      <c r="A662" s="6">
        <v>308989</v>
      </c>
      <c r="B662" s="1">
        <v>44683</v>
      </c>
      <c r="C662" s="11">
        <v>1</v>
      </c>
      <c r="E662" s="6">
        <v>308989</v>
      </c>
      <c r="F662" s="1">
        <v>44683</v>
      </c>
      <c r="G662" s="11">
        <v>1</v>
      </c>
    </row>
    <row r="663" spans="1:7" x14ac:dyDescent="0.25">
      <c r="A663" s="6">
        <v>308991</v>
      </c>
      <c r="B663" s="1">
        <v>44595</v>
      </c>
      <c r="C663" s="11">
        <v>1</v>
      </c>
      <c r="E663" s="6">
        <v>308991</v>
      </c>
      <c r="F663" s="1">
        <v>44595</v>
      </c>
      <c r="G663" s="11">
        <v>1</v>
      </c>
    </row>
    <row r="664" spans="1:7" x14ac:dyDescent="0.25">
      <c r="A664" s="6">
        <v>308994</v>
      </c>
      <c r="B664" s="1">
        <v>44821</v>
      </c>
      <c r="C664" s="11">
        <v>1</v>
      </c>
      <c r="E664" s="6">
        <v>308994</v>
      </c>
      <c r="F664" s="1">
        <v>44821</v>
      </c>
      <c r="G664" s="11">
        <v>1</v>
      </c>
    </row>
    <row r="665" spans="1:7" x14ac:dyDescent="0.25">
      <c r="A665" s="6">
        <v>308998</v>
      </c>
      <c r="B665" s="1">
        <v>44589</v>
      </c>
      <c r="C665" s="11">
        <v>6</v>
      </c>
      <c r="E665" s="6">
        <v>308998</v>
      </c>
      <c r="F665" s="1">
        <v>44589</v>
      </c>
      <c r="G665" s="11">
        <v>6</v>
      </c>
    </row>
    <row r="666" spans="1:7" x14ac:dyDescent="0.25">
      <c r="A666" s="6">
        <v>309000</v>
      </c>
      <c r="B666" s="1">
        <v>44702</v>
      </c>
      <c r="C666" s="11">
        <v>1</v>
      </c>
      <c r="E666" s="6">
        <v>309000</v>
      </c>
      <c r="F666" s="1">
        <v>44702</v>
      </c>
      <c r="G666" s="11">
        <v>1</v>
      </c>
    </row>
    <row r="667" spans="1:7" x14ac:dyDescent="0.25">
      <c r="A667" s="6">
        <v>309002</v>
      </c>
      <c r="B667" s="1">
        <v>44859</v>
      </c>
      <c r="C667" s="11">
        <v>7</v>
      </c>
      <c r="E667" s="6">
        <v>309002</v>
      </c>
      <c r="F667" s="1">
        <v>44859</v>
      </c>
      <c r="G667" s="11">
        <v>7</v>
      </c>
    </row>
    <row r="668" spans="1:7" x14ac:dyDescent="0.25">
      <c r="A668" s="6">
        <v>309004</v>
      </c>
      <c r="B668" s="1">
        <v>44802</v>
      </c>
      <c r="C668" s="11">
        <v>3</v>
      </c>
      <c r="E668" s="6">
        <v>309004</v>
      </c>
      <c r="F668" s="1">
        <v>44802</v>
      </c>
      <c r="G668" s="11">
        <v>3</v>
      </c>
    </row>
    <row r="669" spans="1:7" x14ac:dyDescent="0.25">
      <c r="A669" s="6">
        <v>309005</v>
      </c>
      <c r="B669" s="1">
        <v>44567</v>
      </c>
      <c r="C669" s="11">
        <v>3</v>
      </c>
      <c r="E669" s="6">
        <v>309005</v>
      </c>
      <c r="F669" s="1">
        <v>44567</v>
      </c>
      <c r="G669" s="11">
        <v>3</v>
      </c>
    </row>
    <row r="670" spans="1:7" x14ac:dyDescent="0.25">
      <c r="A670" s="6">
        <v>309008</v>
      </c>
      <c r="B670" s="1">
        <v>44689</v>
      </c>
      <c r="C670" s="11">
        <v>1</v>
      </c>
      <c r="E670" s="6">
        <v>309008</v>
      </c>
      <c r="F670" s="1">
        <v>44689</v>
      </c>
      <c r="G670" s="11">
        <v>1</v>
      </c>
    </row>
    <row r="671" spans="1:7" x14ac:dyDescent="0.25">
      <c r="A671" s="6">
        <v>309012</v>
      </c>
      <c r="B671" s="1">
        <v>44657</v>
      </c>
      <c r="C671" s="11">
        <v>5</v>
      </c>
      <c r="E671" s="6">
        <v>309012</v>
      </c>
      <c r="F671" s="1">
        <v>44657</v>
      </c>
      <c r="G671" s="11">
        <v>5</v>
      </c>
    </row>
    <row r="672" spans="1:7" x14ac:dyDescent="0.25">
      <c r="A672" s="6">
        <v>309013</v>
      </c>
      <c r="B672" s="1">
        <v>44820</v>
      </c>
      <c r="C672" s="11">
        <v>3</v>
      </c>
      <c r="E672" s="6">
        <v>309013</v>
      </c>
      <c r="F672" s="1">
        <v>44820</v>
      </c>
      <c r="G672" s="11">
        <v>3</v>
      </c>
    </row>
    <row r="673" spans="1:7" x14ac:dyDescent="0.25">
      <c r="A673" s="6">
        <v>309015</v>
      </c>
      <c r="B673" s="1">
        <v>44742</v>
      </c>
      <c r="C673" s="11">
        <v>2</v>
      </c>
      <c r="E673" s="6">
        <v>309015</v>
      </c>
      <c r="F673" s="1">
        <v>44742</v>
      </c>
      <c r="G673" s="11">
        <v>2</v>
      </c>
    </row>
    <row r="674" spans="1:7" x14ac:dyDescent="0.25">
      <c r="A674" s="6">
        <v>309018</v>
      </c>
      <c r="B674" s="1">
        <v>44596</v>
      </c>
      <c r="C674" s="11">
        <v>5</v>
      </c>
      <c r="E674" s="6">
        <v>309018</v>
      </c>
      <c r="F674" s="1">
        <v>44596</v>
      </c>
      <c r="G674" s="11">
        <v>5</v>
      </c>
    </row>
    <row r="675" spans="1:7" x14ac:dyDescent="0.25">
      <c r="A675" s="6">
        <v>309019</v>
      </c>
      <c r="B675" s="1">
        <v>44804</v>
      </c>
      <c r="C675" s="11">
        <v>2</v>
      </c>
      <c r="E675" s="6">
        <v>309019</v>
      </c>
      <c r="F675" s="1">
        <v>44804</v>
      </c>
      <c r="G675" s="11">
        <v>2</v>
      </c>
    </row>
    <row r="676" spans="1:7" x14ac:dyDescent="0.25">
      <c r="A676" s="6">
        <v>309020</v>
      </c>
      <c r="B676" s="1">
        <v>44838</v>
      </c>
      <c r="C676" s="11">
        <v>4</v>
      </c>
      <c r="E676" s="6">
        <v>309020</v>
      </c>
      <c r="F676" s="1">
        <v>44838</v>
      </c>
      <c r="G676" s="11">
        <v>4</v>
      </c>
    </row>
    <row r="677" spans="1:7" x14ac:dyDescent="0.25">
      <c r="A677" s="6">
        <v>309021</v>
      </c>
      <c r="B677" s="1">
        <v>44728</v>
      </c>
      <c r="C677" s="11">
        <v>5</v>
      </c>
      <c r="E677" s="6">
        <v>309021</v>
      </c>
      <c r="F677" s="1">
        <v>44728</v>
      </c>
      <c r="G677" s="11">
        <v>5</v>
      </c>
    </row>
    <row r="678" spans="1:7" x14ac:dyDescent="0.25">
      <c r="A678" s="6">
        <v>309023</v>
      </c>
      <c r="B678" s="1">
        <v>44730</v>
      </c>
      <c r="C678" s="11">
        <v>4</v>
      </c>
      <c r="E678" s="6">
        <v>309023</v>
      </c>
      <c r="F678" s="1">
        <v>44730</v>
      </c>
      <c r="G678" s="11">
        <v>4</v>
      </c>
    </row>
    <row r="679" spans="1:7" x14ac:dyDescent="0.25">
      <c r="A679" s="6">
        <v>309026</v>
      </c>
      <c r="B679" s="1">
        <v>44816</v>
      </c>
      <c r="C679" s="11">
        <v>2</v>
      </c>
      <c r="E679" s="6">
        <v>309026</v>
      </c>
      <c r="F679" s="1">
        <v>44816</v>
      </c>
      <c r="G679" s="11">
        <v>2</v>
      </c>
    </row>
    <row r="680" spans="1:7" x14ac:dyDescent="0.25">
      <c r="A680" s="6">
        <v>309031</v>
      </c>
      <c r="B680" s="1">
        <v>44737</v>
      </c>
      <c r="C680" s="11">
        <v>2</v>
      </c>
      <c r="E680" s="6">
        <v>309031</v>
      </c>
      <c r="F680" s="1">
        <v>44737</v>
      </c>
      <c r="G680" s="11">
        <v>2</v>
      </c>
    </row>
    <row r="681" spans="1:7" x14ac:dyDescent="0.25">
      <c r="A681" s="6">
        <v>309036</v>
      </c>
      <c r="B681" s="1">
        <v>44695</v>
      </c>
      <c r="C681" s="11">
        <v>5</v>
      </c>
      <c r="E681" s="6">
        <v>309036</v>
      </c>
      <c r="F681" s="1">
        <v>44695</v>
      </c>
      <c r="G681" s="11">
        <v>5</v>
      </c>
    </row>
    <row r="682" spans="1:7" x14ac:dyDescent="0.25">
      <c r="A682" s="6">
        <v>309041</v>
      </c>
      <c r="B682" s="1">
        <v>44795</v>
      </c>
      <c r="C682" s="11">
        <v>3</v>
      </c>
      <c r="E682" s="6">
        <v>309041</v>
      </c>
      <c r="F682" s="1">
        <v>44795</v>
      </c>
      <c r="G682" s="11">
        <v>3</v>
      </c>
    </row>
    <row r="683" spans="1:7" x14ac:dyDescent="0.25">
      <c r="A683" s="6">
        <v>309043</v>
      </c>
      <c r="B683" s="1">
        <v>44821</v>
      </c>
      <c r="C683" s="11">
        <v>1</v>
      </c>
      <c r="E683" s="6">
        <v>309043</v>
      </c>
      <c r="F683" s="1">
        <v>44821</v>
      </c>
      <c r="G683" s="11">
        <v>1</v>
      </c>
    </row>
    <row r="684" spans="1:7" x14ac:dyDescent="0.25">
      <c r="A684" s="6">
        <v>309048</v>
      </c>
      <c r="B684" s="1">
        <v>44622</v>
      </c>
      <c r="C684" s="11">
        <v>1</v>
      </c>
      <c r="E684" s="6">
        <v>309048</v>
      </c>
      <c r="F684" s="1">
        <v>44622</v>
      </c>
      <c r="G684" s="11">
        <v>1</v>
      </c>
    </row>
    <row r="685" spans="1:7" x14ac:dyDescent="0.25">
      <c r="A685" s="6">
        <v>309051</v>
      </c>
      <c r="B685" s="1">
        <v>44857</v>
      </c>
      <c r="C685" s="11">
        <v>1</v>
      </c>
      <c r="E685" s="6">
        <v>309051</v>
      </c>
      <c r="F685" s="1">
        <v>44857</v>
      </c>
      <c r="G685" s="11">
        <v>1</v>
      </c>
    </row>
    <row r="686" spans="1:7" x14ac:dyDescent="0.25">
      <c r="A686" s="6">
        <v>309053</v>
      </c>
      <c r="B686" s="1">
        <v>44704</v>
      </c>
      <c r="C686" s="11">
        <v>1</v>
      </c>
      <c r="E686" s="6">
        <v>309053</v>
      </c>
      <c r="F686" s="1">
        <v>44704</v>
      </c>
      <c r="G686" s="11">
        <v>1</v>
      </c>
    </row>
    <row r="687" spans="1:7" x14ac:dyDescent="0.25">
      <c r="A687" s="6">
        <v>309057</v>
      </c>
      <c r="B687" s="1">
        <v>44582</v>
      </c>
      <c r="C687" s="11">
        <v>5</v>
      </c>
      <c r="E687" s="6">
        <v>309057</v>
      </c>
      <c r="F687" s="1">
        <v>44582</v>
      </c>
      <c r="G687" s="11">
        <v>5</v>
      </c>
    </row>
    <row r="688" spans="1:7" x14ac:dyDescent="0.25">
      <c r="A688" s="6">
        <v>309062</v>
      </c>
      <c r="B688" s="1">
        <v>44810</v>
      </c>
      <c r="C688" s="11">
        <v>4</v>
      </c>
      <c r="E688" s="6">
        <v>309062</v>
      </c>
      <c r="F688" s="1">
        <v>44810</v>
      </c>
      <c r="G688" s="11">
        <v>4</v>
      </c>
    </row>
    <row r="689" spans="1:7" x14ac:dyDescent="0.25">
      <c r="A689" s="6">
        <v>309063</v>
      </c>
      <c r="B689" s="1">
        <v>44594</v>
      </c>
      <c r="C689" s="11">
        <v>4</v>
      </c>
      <c r="E689" s="6">
        <v>309063</v>
      </c>
      <c r="F689" s="1">
        <v>44594</v>
      </c>
      <c r="G689" s="11">
        <v>4</v>
      </c>
    </row>
    <row r="690" spans="1:7" x14ac:dyDescent="0.25">
      <c r="A690" s="6">
        <v>309065</v>
      </c>
      <c r="B690" s="1">
        <v>44632</v>
      </c>
      <c r="C690" s="11">
        <v>5</v>
      </c>
      <c r="E690" s="6">
        <v>309065</v>
      </c>
      <c r="F690" s="1">
        <v>44632</v>
      </c>
      <c r="G690" s="11">
        <v>5</v>
      </c>
    </row>
    <row r="691" spans="1:7" x14ac:dyDescent="0.25">
      <c r="A691" s="6">
        <v>309070</v>
      </c>
      <c r="B691" s="1">
        <v>44604</v>
      </c>
      <c r="C691" s="11">
        <v>2</v>
      </c>
      <c r="E691" s="6">
        <v>309070</v>
      </c>
      <c r="F691" s="1">
        <v>44604</v>
      </c>
      <c r="G691" s="11">
        <v>2</v>
      </c>
    </row>
    <row r="692" spans="1:7" x14ac:dyDescent="0.25">
      <c r="A692" s="6">
        <v>309071</v>
      </c>
      <c r="B692" s="1">
        <v>44749</v>
      </c>
      <c r="C692" s="11">
        <v>6</v>
      </c>
      <c r="E692" s="6">
        <v>309071</v>
      </c>
      <c r="F692" s="1">
        <v>44749</v>
      </c>
      <c r="G692" s="11">
        <v>6</v>
      </c>
    </row>
    <row r="693" spans="1:7" x14ac:dyDescent="0.25">
      <c r="A693" s="6">
        <v>309075</v>
      </c>
      <c r="B693" s="1">
        <v>44762</v>
      </c>
      <c r="C693" s="11">
        <v>3</v>
      </c>
      <c r="E693" s="6">
        <v>309075</v>
      </c>
      <c r="F693" s="1">
        <v>44762</v>
      </c>
      <c r="G693" s="11">
        <v>3</v>
      </c>
    </row>
    <row r="694" spans="1:7" x14ac:dyDescent="0.25">
      <c r="A694" s="6">
        <v>309078</v>
      </c>
      <c r="B694" s="1">
        <v>44601</v>
      </c>
      <c r="C694" s="11">
        <v>1</v>
      </c>
      <c r="E694" s="6">
        <v>309078</v>
      </c>
      <c r="F694" s="1">
        <v>44601</v>
      </c>
      <c r="G694" s="11">
        <v>1</v>
      </c>
    </row>
    <row r="695" spans="1:7" x14ac:dyDescent="0.25">
      <c r="A695" s="6">
        <v>309082</v>
      </c>
      <c r="B695" s="1">
        <v>44742</v>
      </c>
      <c r="C695" s="11">
        <v>3</v>
      </c>
      <c r="E695" s="6">
        <v>309082</v>
      </c>
      <c r="F695" s="1">
        <v>44742</v>
      </c>
      <c r="G695" s="11">
        <v>3</v>
      </c>
    </row>
    <row r="696" spans="1:7" x14ac:dyDescent="0.25">
      <c r="A696" s="6">
        <v>309086</v>
      </c>
      <c r="B696" s="1">
        <v>44687</v>
      </c>
      <c r="C696" s="11">
        <v>5</v>
      </c>
      <c r="E696" s="6">
        <v>309086</v>
      </c>
      <c r="F696" s="1">
        <v>44687</v>
      </c>
      <c r="G696" s="11">
        <v>5</v>
      </c>
    </row>
    <row r="697" spans="1:7" x14ac:dyDescent="0.25">
      <c r="A697" s="6">
        <v>309087</v>
      </c>
      <c r="B697" s="1">
        <v>44863</v>
      </c>
      <c r="C697" s="11">
        <v>1</v>
      </c>
      <c r="E697" s="6">
        <v>309087</v>
      </c>
      <c r="F697" s="1">
        <v>44863</v>
      </c>
      <c r="G697" s="11">
        <v>1</v>
      </c>
    </row>
    <row r="698" spans="1:7" x14ac:dyDescent="0.25">
      <c r="A698" s="6">
        <v>309089</v>
      </c>
      <c r="B698" s="1">
        <v>44612</v>
      </c>
      <c r="C698" s="11">
        <v>4</v>
      </c>
      <c r="E698" s="6">
        <v>309089</v>
      </c>
      <c r="F698" s="1">
        <v>44612</v>
      </c>
      <c r="G698" s="11">
        <v>4</v>
      </c>
    </row>
    <row r="699" spans="1:7" x14ac:dyDescent="0.25">
      <c r="A699" s="6">
        <v>309090</v>
      </c>
      <c r="B699" s="1">
        <v>44861</v>
      </c>
      <c r="C699" s="11">
        <v>1</v>
      </c>
      <c r="E699" s="6">
        <v>309090</v>
      </c>
      <c r="F699" s="1">
        <v>44861</v>
      </c>
      <c r="G699" s="11">
        <v>1</v>
      </c>
    </row>
    <row r="700" spans="1:7" x14ac:dyDescent="0.25">
      <c r="A700" s="6">
        <v>309091</v>
      </c>
      <c r="B700" s="1">
        <v>44686</v>
      </c>
      <c r="C700" s="11">
        <v>1</v>
      </c>
      <c r="E700" s="6">
        <v>309091</v>
      </c>
      <c r="F700" s="1">
        <v>44686</v>
      </c>
      <c r="G700" s="11">
        <v>1</v>
      </c>
    </row>
    <row r="701" spans="1:7" x14ac:dyDescent="0.25">
      <c r="A701" s="6">
        <v>309094</v>
      </c>
      <c r="B701" s="1">
        <v>44618</v>
      </c>
      <c r="C701" s="11">
        <v>1</v>
      </c>
      <c r="E701" s="6">
        <v>309094</v>
      </c>
      <c r="F701" s="1">
        <v>44618</v>
      </c>
      <c r="G701" s="11">
        <v>1</v>
      </c>
    </row>
    <row r="702" spans="1:7" x14ac:dyDescent="0.25">
      <c r="A702" s="6">
        <v>309095</v>
      </c>
      <c r="B702" s="1">
        <v>44767</v>
      </c>
      <c r="C702" s="11">
        <v>5</v>
      </c>
      <c r="E702" s="6">
        <v>309095</v>
      </c>
      <c r="F702" s="1">
        <v>44767</v>
      </c>
      <c r="G702" s="11">
        <v>5</v>
      </c>
    </row>
    <row r="703" spans="1:7" x14ac:dyDescent="0.25">
      <c r="A703" s="6">
        <v>309096</v>
      </c>
      <c r="B703" s="1">
        <v>44576</v>
      </c>
      <c r="C703" s="11">
        <v>2</v>
      </c>
      <c r="E703" s="6">
        <v>309096</v>
      </c>
      <c r="F703" s="1">
        <v>44576</v>
      </c>
      <c r="G703" s="11">
        <v>2</v>
      </c>
    </row>
    <row r="704" spans="1:7" x14ac:dyDescent="0.25">
      <c r="A704" s="6">
        <v>309100</v>
      </c>
      <c r="B704" s="1">
        <v>44796</v>
      </c>
      <c r="C704" s="11">
        <v>5</v>
      </c>
      <c r="E704" s="6">
        <v>309100</v>
      </c>
      <c r="F704" s="1">
        <v>44796</v>
      </c>
      <c r="G704" s="11">
        <v>5</v>
      </c>
    </row>
    <row r="705" spans="1:7" x14ac:dyDescent="0.25">
      <c r="A705" s="6">
        <v>309104</v>
      </c>
      <c r="B705" s="1">
        <v>44780</v>
      </c>
      <c r="C705" s="11">
        <v>1</v>
      </c>
      <c r="E705" s="6">
        <v>309104</v>
      </c>
      <c r="F705" s="1">
        <v>44780</v>
      </c>
      <c r="G705" s="11">
        <v>1</v>
      </c>
    </row>
    <row r="706" spans="1:7" x14ac:dyDescent="0.25">
      <c r="A706" s="6">
        <v>309107</v>
      </c>
      <c r="B706" s="1">
        <v>44702</v>
      </c>
      <c r="C706" s="11">
        <v>1</v>
      </c>
      <c r="E706" s="6">
        <v>309107</v>
      </c>
      <c r="F706" s="1">
        <v>44702</v>
      </c>
      <c r="G706" s="11">
        <v>1</v>
      </c>
    </row>
    <row r="707" spans="1:7" x14ac:dyDescent="0.25">
      <c r="A707" s="6">
        <v>309109</v>
      </c>
      <c r="B707" s="1">
        <v>44607</v>
      </c>
      <c r="C707" s="11">
        <v>2</v>
      </c>
      <c r="E707" s="6">
        <v>309109</v>
      </c>
      <c r="F707" s="1">
        <v>44607</v>
      </c>
      <c r="G707" s="11">
        <v>2</v>
      </c>
    </row>
    <row r="708" spans="1:7" x14ac:dyDescent="0.25">
      <c r="A708" s="6">
        <v>309110</v>
      </c>
      <c r="B708" s="1">
        <v>44630</v>
      </c>
      <c r="C708" s="11">
        <v>3</v>
      </c>
      <c r="E708" s="6">
        <v>309110</v>
      </c>
      <c r="F708" s="1">
        <v>44630</v>
      </c>
      <c r="G708" s="11">
        <v>3</v>
      </c>
    </row>
    <row r="709" spans="1:7" x14ac:dyDescent="0.25">
      <c r="A709" s="6">
        <v>309113</v>
      </c>
      <c r="B709" s="1">
        <v>44734</v>
      </c>
      <c r="C709" s="11">
        <v>3</v>
      </c>
      <c r="E709" s="6">
        <v>309113</v>
      </c>
      <c r="F709" s="1">
        <v>44734</v>
      </c>
      <c r="G709" s="11">
        <v>3</v>
      </c>
    </row>
    <row r="710" spans="1:7" x14ac:dyDescent="0.25">
      <c r="A710" s="6">
        <v>309114</v>
      </c>
      <c r="B710" s="1">
        <v>44570</v>
      </c>
      <c r="C710" s="11">
        <v>1</v>
      </c>
      <c r="E710" s="6">
        <v>309114</v>
      </c>
      <c r="F710" s="1">
        <v>44570</v>
      </c>
      <c r="G710" s="11">
        <v>1</v>
      </c>
    </row>
    <row r="711" spans="1:7" x14ac:dyDescent="0.25">
      <c r="A711" s="6">
        <v>309115</v>
      </c>
      <c r="B711" s="1">
        <v>44837</v>
      </c>
      <c r="C711" s="11">
        <v>1</v>
      </c>
      <c r="E711" s="6">
        <v>309115</v>
      </c>
      <c r="F711" s="1">
        <v>44837</v>
      </c>
      <c r="G711" s="11">
        <v>1</v>
      </c>
    </row>
    <row r="712" spans="1:7" x14ac:dyDescent="0.25">
      <c r="A712" s="6">
        <v>309117</v>
      </c>
      <c r="B712" s="1">
        <v>44637</v>
      </c>
      <c r="C712" s="11">
        <v>1</v>
      </c>
      <c r="E712" s="6">
        <v>309117</v>
      </c>
      <c r="F712" s="1">
        <v>44637</v>
      </c>
      <c r="G712" s="11">
        <v>1</v>
      </c>
    </row>
    <row r="713" spans="1:7" x14ac:dyDescent="0.25">
      <c r="A713" s="6">
        <v>309118</v>
      </c>
      <c r="B713" s="1">
        <v>44840</v>
      </c>
      <c r="C713" s="11">
        <v>5</v>
      </c>
      <c r="E713" s="6">
        <v>309118</v>
      </c>
      <c r="F713" s="1">
        <v>44840</v>
      </c>
      <c r="G713" s="11">
        <v>5</v>
      </c>
    </row>
    <row r="714" spans="1:7" x14ac:dyDescent="0.25">
      <c r="A714" s="6">
        <v>309120</v>
      </c>
      <c r="B714" s="1">
        <v>44658</v>
      </c>
      <c r="C714" s="11">
        <v>2</v>
      </c>
      <c r="E714" s="6">
        <v>309120</v>
      </c>
      <c r="F714" s="1">
        <v>44658</v>
      </c>
      <c r="G714" s="11">
        <v>2</v>
      </c>
    </row>
    <row r="715" spans="1:7" ht="15.75" thickBot="1" x14ac:dyDescent="0.3">
      <c r="A715" s="7" t="s">
        <v>3</v>
      </c>
      <c r="B715" s="15">
        <v>44564</v>
      </c>
      <c r="C715" s="13">
        <v>1981</v>
      </c>
      <c r="E715" s="10"/>
      <c r="F715" s="19"/>
      <c r="G715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1B20-670B-42E6-B930-26F0A1E31FDF}">
  <dimension ref="A1:X715"/>
  <sheetViews>
    <sheetView tabSelected="1" topLeftCell="D1" workbookViewId="0">
      <selection activeCell="M22" sqref="M22"/>
    </sheetView>
  </sheetViews>
  <sheetFormatPr defaultRowHeight="15" x14ac:dyDescent="0.25"/>
  <cols>
    <col min="1" max="1" width="17.28515625" bestFit="1" customWidth="1"/>
    <col min="2" max="2" width="28.42578125" bestFit="1" customWidth="1"/>
    <col min="3" max="3" width="4.85546875" customWidth="1"/>
    <col min="5" max="5" width="12.140625" customWidth="1"/>
    <col min="6" max="6" width="9.140625" customWidth="1"/>
    <col min="7" max="7" width="5.28515625" customWidth="1"/>
    <col min="9" max="9" width="10.140625" bestFit="1" customWidth="1"/>
    <col min="11" max="11" width="4.7109375" customWidth="1"/>
    <col min="12" max="12" width="17.28515625" bestFit="1" customWidth="1"/>
    <col min="13" max="13" width="28.42578125" bestFit="1" customWidth="1"/>
    <col min="14" max="14" width="4.5703125" customWidth="1"/>
    <col min="15" max="15" width="10.140625" bestFit="1" customWidth="1"/>
    <col min="20" max="20" width="4.5703125" customWidth="1"/>
    <col min="21" max="21" width="14.42578125" customWidth="1"/>
  </cols>
  <sheetData>
    <row r="1" spans="1:24" ht="15.75" thickBot="1" x14ac:dyDescent="0.3">
      <c r="A1" s="4" t="s">
        <v>2</v>
      </c>
      <c r="B1" s="5" t="s">
        <v>21</v>
      </c>
      <c r="D1" s="4" t="s">
        <v>0</v>
      </c>
      <c r="E1" s="17" t="s">
        <v>5</v>
      </c>
      <c r="F1" s="5" t="s">
        <v>22</v>
      </c>
      <c r="H1" s="8" t="s">
        <v>0</v>
      </c>
      <c r="I1" s="18" t="s">
        <v>5</v>
      </c>
      <c r="J1" s="9" t="s">
        <v>22</v>
      </c>
      <c r="L1" s="26" t="s">
        <v>2</v>
      </c>
      <c r="M1" s="31" t="s">
        <v>8</v>
      </c>
      <c r="O1" s="16" t="s">
        <v>23</v>
      </c>
      <c r="P1" s="14" t="s">
        <v>24</v>
      </c>
      <c r="Q1" s="14" t="s">
        <v>25</v>
      </c>
      <c r="R1" s="14" t="s">
        <v>26</v>
      </c>
      <c r="S1" s="5" t="s">
        <v>27</v>
      </c>
      <c r="U1" s="40" t="s">
        <v>28</v>
      </c>
      <c r="V1" s="41">
        <f>GEOMEAN(S3:S17)</f>
        <v>0.66138199539010278</v>
      </c>
      <c r="X1" s="64" t="s">
        <v>48</v>
      </c>
    </row>
    <row r="2" spans="1:24" ht="15.75" thickBot="1" x14ac:dyDescent="0.3">
      <c r="A2" s="6" t="s">
        <v>6</v>
      </c>
      <c r="B2" s="11">
        <v>1907</v>
      </c>
      <c r="D2" s="6">
        <v>307001</v>
      </c>
      <c r="E2" s="1">
        <v>44833</v>
      </c>
      <c r="F2" s="11">
        <v>5</v>
      </c>
      <c r="H2" s="6">
        <v>307001</v>
      </c>
      <c r="I2" s="1">
        <v>44833</v>
      </c>
      <c r="J2" s="11">
        <v>5</v>
      </c>
      <c r="L2" s="27" t="s">
        <v>9</v>
      </c>
      <c r="M2" s="23">
        <v>77</v>
      </c>
      <c r="O2" s="35">
        <v>44562</v>
      </c>
      <c r="P2" s="34">
        <v>77</v>
      </c>
      <c r="Q2" s="34">
        <v>77</v>
      </c>
      <c r="R2" s="34">
        <f>P2-Q2</f>
        <v>0</v>
      </c>
      <c r="S2" s="11"/>
      <c r="U2" s="42" t="s">
        <v>29</v>
      </c>
      <c r="V2" s="43">
        <f>AVERAGE(S3:S17)</f>
        <v>0.66329748258408372</v>
      </c>
      <c r="X2" s="65">
        <v>250</v>
      </c>
    </row>
    <row r="3" spans="1:24" ht="15.75" thickBot="1" x14ac:dyDescent="0.3">
      <c r="A3" s="12" t="s">
        <v>9</v>
      </c>
      <c r="B3" s="11">
        <v>77</v>
      </c>
      <c r="D3" s="6">
        <v>307002</v>
      </c>
      <c r="E3" s="1">
        <v>44844</v>
      </c>
      <c r="F3" s="11">
        <v>6</v>
      </c>
      <c r="H3" s="6">
        <v>307002</v>
      </c>
      <c r="I3" s="1">
        <v>44844</v>
      </c>
      <c r="J3" s="11">
        <v>6</v>
      </c>
      <c r="L3" s="28" t="s">
        <v>10</v>
      </c>
      <c r="M3" s="24">
        <v>70</v>
      </c>
      <c r="O3" s="35">
        <v>44593</v>
      </c>
      <c r="P3" s="34">
        <v>125</v>
      </c>
      <c r="Q3" s="34">
        <v>70</v>
      </c>
      <c r="R3" s="34">
        <f t="shared" ref="R3:R11" si="0">P3-Q3</f>
        <v>55</v>
      </c>
      <c r="S3" s="36">
        <f>R3/P2</f>
        <v>0.7142857142857143</v>
      </c>
      <c r="U3" s="44" t="s">
        <v>30</v>
      </c>
      <c r="V3" s="21">
        <f>1/(1-V1)</f>
        <v>2.9531802396391882</v>
      </c>
    </row>
    <row r="4" spans="1:24" ht="15.75" thickBot="1" x14ac:dyDescent="0.3">
      <c r="A4" s="12" t="s">
        <v>10</v>
      </c>
      <c r="B4" s="11">
        <v>125</v>
      </c>
      <c r="D4" s="6">
        <v>307006</v>
      </c>
      <c r="E4" s="1">
        <v>44798</v>
      </c>
      <c r="F4" s="11">
        <v>1</v>
      </c>
      <c r="H4" s="6">
        <v>307006</v>
      </c>
      <c r="I4" s="1">
        <v>44798</v>
      </c>
      <c r="J4" s="11">
        <v>1</v>
      </c>
      <c r="L4" s="28" t="s">
        <v>11</v>
      </c>
      <c r="M4" s="24">
        <v>78</v>
      </c>
      <c r="O4" s="35">
        <v>44621</v>
      </c>
      <c r="P4" s="34">
        <v>171</v>
      </c>
      <c r="Q4" s="34">
        <v>78</v>
      </c>
      <c r="R4" s="34">
        <f t="shared" si="0"/>
        <v>93</v>
      </c>
      <c r="S4" s="36">
        <f t="shared" ref="S4:S11" si="1">R4/P3</f>
        <v>0.74399999999999999</v>
      </c>
      <c r="U4" s="66" t="s">
        <v>31</v>
      </c>
      <c r="V4" s="22">
        <f>V3*X2</f>
        <v>738.29505990979703</v>
      </c>
    </row>
    <row r="5" spans="1:24" ht="15.75" thickBot="1" x14ac:dyDescent="0.3">
      <c r="A5" s="12" t="s">
        <v>11</v>
      </c>
      <c r="B5" s="11">
        <v>171</v>
      </c>
      <c r="D5" s="6">
        <v>307011</v>
      </c>
      <c r="E5" s="1">
        <v>44693</v>
      </c>
      <c r="F5" s="11">
        <v>1</v>
      </c>
      <c r="H5" s="6">
        <v>307011</v>
      </c>
      <c r="I5" s="1">
        <v>44693</v>
      </c>
      <c r="J5" s="11">
        <v>1</v>
      </c>
      <c r="L5" s="28" t="s">
        <v>12</v>
      </c>
      <c r="M5" s="24">
        <v>61</v>
      </c>
      <c r="O5" s="35">
        <v>44652</v>
      </c>
      <c r="P5" s="34">
        <v>181</v>
      </c>
      <c r="Q5" s="34">
        <v>61</v>
      </c>
      <c r="R5" s="34">
        <f t="shared" si="0"/>
        <v>120</v>
      </c>
      <c r="S5" s="36">
        <f t="shared" si="1"/>
        <v>0.70175438596491224</v>
      </c>
      <c r="V5" s="32"/>
    </row>
    <row r="6" spans="1:24" x14ac:dyDescent="0.25">
      <c r="A6" s="12" t="s">
        <v>12</v>
      </c>
      <c r="B6" s="11">
        <v>181</v>
      </c>
      <c r="D6" s="6">
        <v>307013</v>
      </c>
      <c r="E6" s="1">
        <v>44567</v>
      </c>
      <c r="F6" s="11">
        <v>4</v>
      </c>
      <c r="H6" s="6">
        <v>307013</v>
      </c>
      <c r="I6" s="1">
        <v>44567</v>
      </c>
      <c r="J6" s="11">
        <v>4</v>
      </c>
      <c r="L6" s="28" t="s">
        <v>13</v>
      </c>
      <c r="M6" s="24">
        <v>70</v>
      </c>
      <c r="O6" s="35">
        <v>44682</v>
      </c>
      <c r="P6" s="34">
        <v>195</v>
      </c>
      <c r="Q6" s="34">
        <v>70</v>
      </c>
      <c r="R6" s="34">
        <f t="shared" si="0"/>
        <v>125</v>
      </c>
      <c r="S6" s="36">
        <f t="shared" si="1"/>
        <v>0.69060773480662985</v>
      </c>
      <c r="U6" s="69" t="s">
        <v>49</v>
      </c>
      <c r="V6" s="70">
        <f>V3</f>
        <v>2.9531802396391882</v>
      </c>
    </row>
    <row r="7" spans="1:24" ht="15.75" thickBot="1" x14ac:dyDescent="0.3">
      <c r="A7" s="12" t="s">
        <v>13</v>
      </c>
      <c r="B7" s="11">
        <v>195</v>
      </c>
      <c r="D7" s="6">
        <v>307014</v>
      </c>
      <c r="E7" s="1">
        <v>44610</v>
      </c>
      <c r="F7" s="11">
        <v>3</v>
      </c>
      <c r="H7" s="6">
        <v>307014</v>
      </c>
      <c r="I7" s="1">
        <v>44610</v>
      </c>
      <c r="J7" s="11">
        <v>3</v>
      </c>
      <c r="L7" s="28" t="s">
        <v>14</v>
      </c>
      <c r="M7" s="24">
        <v>61</v>
      </c>
      <c r="O7" s="35">
        <v>44713</v>
      </c>
      <c r="P7" s="34">
        <v>174</v>
      </c>
      <c r="Q7" s="34">
        <v>61</v>
      </c>
      <c r="R7" s="34">
        <f t="shared" si="0"/>
        <v>113</v>
      </c>
      <c r="S7" s="36">
        <f t="shared" si="1"/>
        <v>0.57948717948717954</v>
      </c>
      <c r="U7" s="71" t="s">
        <v>50</v>
      </c>
      <c r="V7" s="72">
        <f>Базовый!X26</f>
        <v>2.7784011220196354</v>
      </c>
    </row>
    <row r="8" spans="1:24" ht="15.75" thickBot="1" x14ac:dyDescent="0.3">
      <c r="A8" s="12" t="s">
        <v>14</v>
      </c>
      <c r="B8" s="11">
        <v>174</v>
      </c>
      <c r="D8" s="6">
        <v>307019</v>
      </c>
      <c r="E8" s="1">
        <v>44742</v>
      </c>
      <c r="F8" s="11">
        <v>2</v>
      </c>
      <c r="H8" s="6">
        <v>307019</v>
      </c>
      <c r="I8" s="1">
        <v>44742</v>
      </c>
      <c r="J8" s="11">
        <v>2</v>
      </c>
      <c r="L8" s="28" t="s">
        <v>15</v>
      </c>
      <c r="M8" s="24">
        <v>82</v>
      </c>
      <c r="O8" s="35">
        <v>44743</v>
      </c>
      <c r="P8" s="34">
        <v>189</v>
      </c>
      <c r="Q8" s="34">
        <v>82</v>
      </c>
      <c r="R8" s="34">
        <f t="shared" si="0"/>
        <v>107</v>
      </c>
      <c r="S8" s="36">
        <f t="shared" si="1"/>
        <v>0.61494252873563215</v>
      </c>
      <c r="U8" s="73" t="s">
        <v>51</v>
      </c>
      <c r="V8" s="74">
        <f>V6-V7</f>
        <v>0.17477911761955278</v>
      </c>
    </row>
    <row r="9" spans="1:24" x14ac:dyDescent="0.25">
      <c r="A9" s="12" t="s">
        <v>15</v>
      </c>
      <c r="B9" s="11">
        <v>189</v>
      </c>
      <c r="D9" s="6">
        <v>307022</v>
      </c>
      <c r="E9" s="1">
        <v>44682</v>
      </c>
      <c r="F9" s="11">
        <v>5</v>
      </c>
      <c r="H9" s="6">
        <v>307022</v>
      </c>
      <c r="I9" s="1">
        <v>44682</v>
      </c>
      <c r="J9" s="11">
        <v>5</v>
      </c>
      <c r="L9" s="28" t="s">
        <v>16</v>
      </c>
      <c r="M9" s="24">
        <v>75</v>
      </c>
      <c r="O9" s="35">
        <v>44774</v>
      </c>
      <c r="P9" s="34">
        <v>195</v>
      </c>
      <c r="Q9" s="34">
        <v>75</v>
      </c>
      <c r="R9" s="34">
        <f t="shared" si="0"/>
        <v>120</v>
      </c>
      <c r="S9" s="36">
        <f t="shared" si="1"/>
        <v>0.63492063492063489</v>
      </c>
    </row>
    <row r="10" spans="1:24" x14ac:dyDescent="0.25">
      <c r="A10" s="12" t="s">
        <v>16</v>
      </c>
      <c r="B10" s="11">
        <v>195</v>
      </c>
      <c r="D10" s="6">
        <v>307026</v>
      </c>
      <c r="E10" s="1">
        <v>44672</v>
      </c>
      <c r="F10" s="11">
        <v>1</v>
      </c>
      <c r="H10" s="6">
        <v>307026</v>
      </c>
      <c r="I10" s="1">
        <v>44672</v>
      </c>
      <c r="J10" s="11">
        <v>1</v>
      </c>
      <c r="L10" s="28" t="s">
        <v>17</v>
      </c>
      <c r="M10" s="24">
        <v>70</v>
      </c>
      <c r="O10" s="35">
        <v>44805</v>
      </c>
      <c r="P10" s="34">
        <v>199</v>
      </c>
      <c r="Q10" s="34">
        <v>70</v>
      </c>
      <c r="R10" s="34">
        <f t="shared" si="0"/>
        <v>129</v>
      </c>
      <c r="S10" s="36">
        <f t="shared" si="1"/>
        <v>0.66153846153846152</v>
      </c>
    </row>
    <row r="11" spans="1:24" ht="15.75" thickBot="1" x14ac:dyDescent="0.3">
      <c r="A11" s="12" t="s">
        <v>17</v>
      </c>
      <c r="B11" s="11">
        <v>199</v>
      </c>
      <c r="D11" s="6">
        <v>307030</v>
      </c>
      <c r="E11" s="1">
        <v>44611</v>
      </c>
      <c r="F11" s="11">
        <v>3</v>
      </c>
      <c r="H11" s="6">
        <v>307030</v>
      </c>
      <c r="I11" s="1">
        <v>44611</v>
      </c>
      <c r="J11" s="11">
        <v>3</v>
      </c>
      <c r="L11" s="29" t="s">
        <v>18</v>
      </c>
      <c r="M11" s="24">
        <v>69</v>
      </c>
      <c r="O11" s="37">
        <v>44835</v>
      </c>
      <c r="P11" s="38">
        <v>194</v>
      </c>
      <c r="Q11" s="38">
        <v>69</v>
      </c>
      <c r="R11" s="38">
        <f t="shared" si="0"/>
        <v>125</v>
      </c>
      <c r="S11" s="39">
        <f t="shared" si="1"/>
        <v>0.62814070351758799</v>
      </c>
    </row>
    <row r="12" spans="1:24" ht="15.75" thickBot="1" x14ac:dyDescent="0.3">
      <c r="A12" s="12" t="s">
        <v>18</v>
      </c>
      <c r="B12" s="11">
        <v>194</v>
      </c>
      <c r="D12" s="6">
        <v>307031</v>
      </c>
      <c r="E12" s="1">
        <v>44858</v>
      </c>
      <c r="F12" s="11">
        <v>5</v>
      </c>
      <c r="H12" s="6">
        <v>307031</v>
      </c>
      <c r="I12" s="1">
        <v>44858</v>
      </c>
      <c r="J12" s="11">
        <v>5</v>
      </c>
      <c r="L12" s="30" t="s">
        <v>3</v>
      </c>
      <c r="M12" s="25">
        <v>713</v>
      </c>
      <c r="O12" s="1"/>
      <c r="P12" s="34"/>
      <c r="Q12" s="34"/>
      <c r="R12" s="34"/>
      <c r="S12" s="33"/>
    </row>
    <row r="13" spans="1:24" x14ac:dyDescent="0.25">
      <c r="A13" s="12" t="s">
        <v>19</v>
      </c>
      <c r="B13" s="11">
        <v>132</v>
      </c>
      <c r="D13" s="6">
        <v>307033</v>
      </c>
      <c r="E13" s="1">
        <v>44675</v>
      </c>
      <c r="F13" s="11">
        <v>3</v>
      </c>
      <c r="H13" s="6">
        <v>307033</v>
      </c>
      <c r="I13" s="1">
        <v>44675</v>
      </c>
      <c r="J13" s="11">
        <v>3</v>
      </c>
      <c r="O13" s="1"/>
      <c r="P13" s="34"/>
      <c r="Q13" s="34"/>
      <c r="R13" s="34"/>
      <c r="S13" s="33"/>
    </row>
    <row r="14" spans="1:24" x14ac:dyDescent="0.25">
      <c r="A14" s="12" t="s">
        <v>20</v>
      </c>
      <c r="B14" s="11">
        <v>75</v>
      </c>
      <c r="D14" s="6">
        <v>307035</v>
      </c>
      <c r="E14" s="1">
        <v>44747</v>
      </c>
      <c r="F14" s="11">
        <v>1</v>
      </c>
      <c r="H14" s="6">
        <v>307035</v>
      </c>
      <c r="I14" s="1">
        <v>44747</v>
      </c>
      <c r="J14" s="11">
        <v>1</v>
      </c>
      <c r="O14" s="1"/>
      <c r="P14" s="34"/>
      <c r="Q14" s="34"/>
      <c r="R14" s="34"/>
      <c r="S14" s="33"/>
    </row>
    <row r="15" spans="1:24" x14ac:dyDescent="0.25">
      <c r="A15" s="6" t="s">
        <v>7</v>
      </c>
      <c r="B15" s="11">
        <v>74</v>
      </c>
      <c r="D15" s="6">
        <v>307040</v>
      </c>
      <c r="E15" s="1">
        <v>44791</v>
      </c>
      <c r="F15" s="11">
        <v>2</v>
      </c>
      <c r="H15" s="6">
        <v>307040</v>
      </c>
      <c r="I15" s="1">
        <v>44791</v>
      </c>
      <c r="J15" s="11">
        <v>2</v>
      </c>
      <c r="L15" s="75" t="s">
        <v>52</v>
      </c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spans="1:24" x14ac:dyDescent="0.25">
      <c r="A16" s="12" t="s">
        <v>9</v>
      </c>
      <c r="B16" s="11">
        <v>46</v>
      </c>
      <c r="D16" s="6">
        <v>307044</v>
      </c>
      <c r="E16" s="1">
        <v>44778</v>
      </c>
      <c r="F16" s="11">
        <v>3</v>
      </c>
      <c r="H16" s="6">
        <v>307044</v>
      </c>
      <c r="I16" s="1">
        <v>44778</v>
      </c>
      <c r="J16" s="11">
        <v>3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spans="1:19" x14ac:dyDescent="0.25">
      <c r="A17" s="12" t="s">
        <v>10</v>
      </c>
      <c r="B17" s="11">
        <v>20</v>
      </c>
      <c r="D17" s="6">
        <v>307047</v>
      </c>
      <c r="E17" s="1">
        <v>44591</v>
      </c>
      <c r="F17" s="11">
        <v>1</v>
      </c>
      <c r="H17" s="6">
        <v>307047</v>
      </c>
      <c r="I17" s="1">
        <v>44591</v>
      </c>
      <c r="J17" s="11">
        <v>1</v>
      </c>
      <c r="O17" s="1"/>
      <c r="Q17" s="34"/>
      <c r="R17" s="34"/>
      <c r="S17" s="33"/>
    </row>
    <row r="18" spans="1:19" x14ac:dyDescent="0.25">
      <c r="A18" s="12" t="s">
        <v>11</v>
      </c>
      <c r="B18" s="11">
        <v>6</v>
      </c>
      <c r="D18" s="6">
        <v>307050</v>
      </c>
      <c r="E18" s="1">
        <v>44566</v>
      </c>
      <c r="F18" s="11">
        <v>3</v>
      </c>
      <c r="H18" s="6">
        <v>307050</v>
      </c>
      <c r="I18" s="1">
        <v>44566</v>
      </c>
      <c r="J18" s="11">
        <v>3</v>
      </c>
    </row>
    <row r="19" spans="1:19" x14ac:dyDescent="0.25">
      <c r="A19" s="12" t="s">
        <v>12</v>
      </c>
      <c r="B19" s="11">
        <v>2</v>
      </c>
      <c r="D19" s="6">
        <v>307053</v>
      </c>
      <c r="E19" s="1">
        <v>44839</v>
      </c>
      <c r="F19" s="11">
        <v>2</v>
      </c>
      <c r="H19" s="6">
        <v>307053</v>
      </c>
      <c r="I19" s="1">
        <v>44839</v>
      </c>
      <c r="J19" s="11">
        <v>2</v>
      </c>
    </row>
    <row r="20" spans="1:19" ht="15.75" thickBot="1" x14ac:dyDescent="0.3">
      <c r="A20" s="7" t="s">
        <v>3</v>
      </c>
      <c r="B20" s="13">
        <v>1981</v>
      </c>
      <c r="D20" s="6">
        <v>307056</v>
      </c>
      <c r="E20" s="1">
        <v>44702</v>
      </c>
      <c r="F20" s="11">
        <v>1</v>
      </c>
      <c r="H20" s="6">
        <v>307056</v>
      </c>
      <c r="I20" s="1">
        <v>44702</v>
      </c>
      <c r="J20" s="11">
        <v>1</v>
      </c>
    </row>
    <row r="21" spans="1:19" x14ac:dyDescent="0.25">
      <c r="D21" s="6">
        <v>307060</v>
      </c>
      <c r="E21" s="1">
        <v>44767</v>
      </c>
      <c r="F21" s="11">
        <v>3</v>
      </c>
      <c r="H21" s="6">
        <v>307060</v>
      </c>
      <c r="I21" s="1">
        <v>44767</v>
      </c>
      <c r="J21" s="11">
        <v>3</v>
      </c>
    </row>
    <row r="22" spans="1:19" x14ac:dyDescent="0.25">
      <c r="D22" s="6">
        <v>307063</v>
      </c>
      <c r="E22" s="1">
        <v>44776</v>
      </c>
      <c r="F22" s="11">
        <v>1</v>
      </c>
      <c r="H22" s="6">
        <v>307063</v>
      </c>
      <c r="I22" s="1">
        <v>44776</v>
      </c>
      <c r="J22" s="11">
        <v>1</v>
      </c>
    </row>
    <row r="23" spans="1:19" x14ac:dyDescent="0.25">
      <c r="D23" s="6">
        <v>307068</v>
      </c>
      <c r="E23" s="1">
        <v>44714</v>
      </c>
      <c r="F23" s="11">
        <v>1</v>
      </c>
      <c r="H23" s="6">
        <v>307068</v>
      </c>
      <c r="I23" s="1">
        <v>44714</v>
      </c>
      <c r="J23" s="11">
        <v>1</v>
      </c>
    </row>
    <row r="24" spans="1:19" x14ac:dyDescent="0.25">
      <c r="D24" s="6">
        <v>307071</v>
      </c>
      <c r="E24" s="1">
        <v>44687</v>
      </c>
      <c r="F24" s="11">
        <v>2</v>
      </c>
      <c r="H24" s="6">
        <v>307071</v>
      </c>
      <c r="I24" s="1">
        <v>44687</v>
      </c>
      <c r="J24" s="11">
        <v>2</v>
      </c>
    </row>
    <row r="25" spans="1:19" x14ac:dyDescent="0.25">
      <c r="D25" s="6">
        <v>307075</v>
      </c>
      <c r="E25" s="1">
        <v>44741</v>
      </c>
      <c r="F25" s="11">
        <v>1</v>
      </c>
      <c r="H25" s="6">
        <v>307075</v>
      </c>
      <c r="I25" s="1">
        <v>44741</v>
      </c>
      <c r="J25" s="11">
        <v>1</v>
      </c>
    </row>
    <row r="26" spans="1:19" x14ac:dyDescent="0.25">
      <c r="D26" s="6">
        <v>307079</v>
      </c>
      <c r="E26" s="1">
        <v>44698</v>
      </c>
      <c r="F26" s="11">
        <v>2</v>
      </c>
      <c r="H26" s="6">
        <v>307079</v>
      </c>
      <c r="I26" s="1">
        <v>44698</v>
      </c>
      <c r="J26" s="11">
        <v>2</v>
      </c>
    </row>
    <row r="27" spans="1:19" x14ac:dyDescent="0.25">
      <c r="D27" s="6">
        <v>307081</v>
      </c>
      <c r="E27" s="1">
        <v>44789</v>
      </c>
      <c r="F27" s="11">
        <v>4</v>
      </c>
      <c r="H27" s="6">
        <v>307081</v>
      </c>
      <c r="I27" s="1">
        <v>44789</v>
      </c>
      <c r="J27" s="11">
        <v>4</v>
      </c>
    </row>
    <row r="28" spans="1:19" x14ac:dyDescent="0.25">
      <c r="D28" s="6">
        <v>307083</v>
      </c>
      <c r="E28" s="1">
        <v>44704</v>
      </c>
      <c r="F28" s="11">
        <v>3</v>
      </c>
      <c r="H28" s="6">
        <v>307083</v>
      </c>
      <c r="I28" s="1">
        <v>44704</v>
      </c>
      <c r="J28" s="11">
        <v>3</v>
      </c>
    </row>
    <row r="29" spans="1:19" x14ac:dyDescent="0.25">
      <c r="D29" s="6">
        <v>307086</v>
      </c>
      <c r="E29" s="1">
        <v>44824</v>
      </c>
      <c r="F29" s="11">
        <v>3</v>
      </c>
      <c r="H29" s="6">
        <v>307086</v>
      </c>
      <c r="I29" s="1">
        <v>44824</v>
      </c>
      <c r="J29" s="11">
        <v>3</v>
      </c>
    </row>
    <row r="30" spans="1:19" x14ac:dyDescent="0.25">
      <c r="D30" s="6">
        <v>307090</v>
      </c>
      <c r="E30" s="1">
        <v>44834</v>
      </c>
      <c r="F30" s="11">
        <v>1</v>
      </c>
      <c r="H30" s="6">
        <v>307090</v>
      </c>
      <c r="I30" s="1">
        <v>44834</v>
      </c>
      <c r="J30" s="11">
        <v>1</v>
      </c>
    </row>
    <row r="31" spans="1:19" x14ac:dyDescent="0.25">
      <c r="D31" s="6">
        <v>307091</v>
      </c>
      <c r="E31" s="1">
        <v>44787</v>
      </c>
      <c r="F31" s="11">
        <v>5</v>
      </c>
      <c r="H31" s="6">
        <v>307091</v>
      </c>
      <c r="I31" s="1">
        <v>44787</v>
      </c>
      <c r="J31" s="11">
        <v>5</v>
      </c>
    </row>
    <row r="32" spans="1:19" x14ac:dyDescent="0.25">
      <c r="D32" s="6">
        <v>307092</v>
      </c>
      <c r="E32" s="1">
        <v>44733</v>
      </c>
      <c r="F32" s="11">
        <v>2</v>
      </c>
      <c r="H32" s="6">
        <v>307092</v>
      </c>
      <c r="I32" s="1">
        <v>44733</v>
      </c>
      <c r="J32" s="11">
        <v>2</v>
      </c>
    </row>
    <row r="33" spans="4:10" x14ac:dyDescent="0.25">
      <c r="D33" s="6">
        <v>307094</v>
      </c>
      <c r="E33" s="1">
        <v>44618</v>
      </c>
      <c r="F33" s="11">
        <v>6</v>
      </c>
      <c r="H33" s="6">
        <v>307094</v>
      </c>
      <c r="I33" s="1">
        <v>44618</v>
      </c>
      <c r="J33" s="11">
        <v>6</v>
      </c>
    </row>
    <row r="34" spans="4:10" x14ac:dyDescent="0.25">
      <c r="D34" s="6">
        <v>307095</v>
      </c>
      <c r="E34" s="1">
        <v>44759</v>
      </c>
      <c r="F34" s="11">
        <v>6</v>
      </c>
      <c r="H34" s="6">
        <v>307095</v>
      </c>
      <c r="I34" s="1">
        <v>44759</v>
      </c>
      <c r="J34" s="11">
        <v>6</v>
      </c>
    </row>
    <row r="35" spans="4:10" x14ac:dyDescent="0.25">
      <c r="D35" s="6">
        <v>307099</v>
      </c>
      <c r="E35" s="1">
        <v>44729</v>
      </c>
      <c r="F35" s="11">
        <v>1</v>
      </c>
      <c r="H35" s="6">
        <v>307099</v>
      </c>
      <c r="I35" s="1">
        <v>44729</v>
      </c>
      <c r="J35" s="11">
        <v>1</v>
      </c>
    </row>
    <row r="36" spans="4:10" x14ac:dyDescent="0.25">
      <c r="D36" s="6">
        <v>307101</v>
      </c>
      <c r="E36" s="1">
        <v>44715</v>
      </c>
      <c r="F36" s="11">
        <v>3</v>
      </c>
      <c r="H36" s="6">
        <v>307101</v>
      </c>
      <c r="I36" s="1">
        <v>44715</v>
      </c>
      <c r="J36" s="11">
        <v>3</v>
      </c>
    </row>
    <row r="37" spans="4:10" x14ac:dyDescent="0.25">
      <c r="D37" s="6">
        <v>307102</v>
      </c>
      <c r="E37" s="1">
        <v>44731</v>
      </c>
      <c r="F37" s="11">
        <v>1</v>
      </c>
      <c r="H37" s="6">
        <v>307102</v>
      </c>
      <c r="I37" s="1">
        <v>44731</v>
      </c>
      <c r="J37" s="11">
        <v>1</v>
      </c>
    </row>
    <row r="38" spans="4:10" x14ac:dyDescent="0.25">
      <c r="D38" s="6">
        <v>307106</v>
      </c>
      <c r="E38" s="1">
        <v>44839</v>
      </c>
      <c r="F38" s="11">
        <v>1</v>
      </c>
      <c r="H38" s="6">
        <v>307106</v>
      </c>
      <c r="I38" s="1">
        <v>44839</v>
      </c>
      <c r="J38" s="11">
        <v>1</v>
      </c>
    </row>
    <row r="39" spans="4:10" x14ac:dyDescent="0.25">
      <c r="D39" s="6">
        <v>307111</v>
      </c>
      <c r="E39" s="1">
        <v>44669</v>
      </c>
      <c r="F39" s="11">
        <v>2</v>
      </c>
      <c r="H39" s="6">
        <v>307111</v>
      </c>
      <c r="I39" s="1">
        <v>44669</v>
      </c>
      <c r="J39" s="11">
        <v>2</v>
      </c>
    </row>
    <row r="40" spans="4:10" x14ac:dyDescent="0.25">
      <c r="D40" s="6">
        <v>307116</v>
      </c>
      <c r="E40" s="1">
        <v>44710</v>
      </c>
      <c r="F40" s="11">
        <v>2</v>
      </c>
      <c r="H40" s="6">
        <v>307116</v>
      </c>
      <c r="I40" s="1">
        <v>44710</v>
      </c>
      <c r="J40" s="11">
        <v>2</v>
      </c>
    </row>
    <row r="41" spans="4:10" x14ac:dyDescent="0.25">
      <c r="D41" s="6">
        <v>307117</v>
      </c>
      <c r="E41" s="1">
        <v>44619</v>
      </c>
      <c r="F41" s="11">
        <v>1</v>
      </c>
      <c r="H41" s="6">
        <v>307117</v>
      </c>
      <c r="I41" s="1">
        <v>44619</v>
      </c>
      <c r="J41" s="11">
        <v>1</v>
      </c>
    </row>
    <row r="42" spans="4:10" x14ac:dyDescent="0.25">
      <c r="D42" s="6">
        <v>307121</v>
      </c>
      <c r="E42" s="1">
        <v>44858</v>
      </c>
      <c r="F42" s="11">
        <v>1</v>
      </c>
      <c r="H42" s="6">
        <v>307121</v>
      </c>
      <c r="I42" s="1">
        <v>44858</v>
      </c>
      <c r="J42" s="11">
        <v>1</v>
      </c>
    </row>
    <row r="43" spans="4:10" x14ac:dyDescent="0.25">
      <c r="D43" s="6">
        <v>307122</v>
      </c>
      <c r="E43" s="1">
        <v>44762</v>
      </c>
      <c r="F43" s="11">
        <v>1</v>
      </c>
      <c r="H43" s="6">
        <v>307122</v>
      </c>
      <c r="I43" s="1">
        <v>44762</v>
      </c>
      <c r="J43" s="11">
        <v>1</v>
      </c>
    </row>
    <row r="44" spans="4:10" x14ac:dyDescent="0.25">
      <c r="D44" s="6">
        <v>307123</v>
      </c>
      <c r="E44" s="1">
        <v>44577</v>
      </c>
      <c r="F44" s="11">
        <v>1</v>
      </c>
      <c r="H44" s="6">
        <v>307123</v>
      </c>
      <c r="I44" s="1">
        <v>44577</v>
      </c>
      <c r="J44" s="11">
        <v>1</v>
      </c>
    </row>
    <row r="45" spans="4:10" x14ac:dyDescent="0.25">
      <c r="D45" s="6">
        <v>307124</v>
      </c>
      <c r="E45" s="1">
        <v>44616</v>
      </c>
      <c r="F45" s="11">
        <v>3</v>
      </c>
      <c r="H45" s="6">
        <v>307124</v>
      </c>
      <c r="I45" s="1">
        <v>44616</v>
      </c>
      <c r="J45" s="11">
        <v>3</v>
      </c>
    </row>
    <row r="46" spans="4:10" x14ac:dyDescent="0.25">
      <c r="D46" s="6">
        <v>307128</v>
      </c>
      <c r="E46" s="1">
        <v>44630</v>
      </c>
      <c r="F46" s="11">
        <v>2</v>
      </c>
      <c r="H46" s="6">
        <v>307128</v>
      </c>
      <c r="I46" s="1">
        <v>44630</v>
      </c>
      <c r="J46" s="11">
        <v>2</v>
      </c>
    </row>
    <row r="47" spans="4:10" x14ac:dyDescent="0.25">
      <c r="D47" s="6">
        <v>307131</v>
      </c>
      <c r="E47" s="1">
        <v>44801</v>
      </c>
      <c r="F47" s="11">
        <v>6</v>
      </c>
      <c r="H47" s="6">
        <v>307131</v>
      </c>
      <c r="I47" s="1">
        <v>44801</v>
      </c>
      <c r="J47" s="11">
        <v>6</v>
      </c>
    </row>
    <row r="48" spans="4:10" x14ac:dyDescent="0.25">
      <c r="D48" s="6">
        <v>307133</v>
      </c>
      <c r="E48" s="1">
        <v>44813</v>
      </c>
      <c r="F48" s="11">
        <v>1</v>
      </c>
      <c r="H48" s="6">
        <v>307133</v>
      </c>
      <c r="I48" s="1">
        <v>44813</v>
      </c>
      <c r="J48" s="11">
        <v>1</v>
      </c>
    </row>
    <row r="49" spans="4:10" x14ac:dyDescent="0.25">
      <c r="D49" s="6">
        <v>307134</v>
      </c>
      <c r="E49" s="1">
        <v>44710</v>
      </c>
      <c r="F49" s="11">
        <v>1</v>
      </c>
      <c r="H49" s="6">
        <v>307134</v>
      </c>
      <c r="I49" s="1">
        <v>44710</v>
      </c>
      <c r="J49" s="11">
        <v>1</v>
      </c>
    </row>
    <row r="50" spans="4:10" x14ac:dyDescent="0.25">
      <c r="D50" s="6">
        <v>307138</v>
      </c>
      <c r="E50" s="1">
        <v>44848</v>
      </c>
      <c r="F50" s="11">
        <v>2</v>
      </c>
      <c r="H50" s="6">
        <v>307138</v>
      </c>
      <c r="I50" s="1">
        <v>44848</v>
      </c>
      <c r="J50" s="11">
        <v>2</v>
      </c>
    </row>
    <row r="51" spans="4:10" x14ac:dyDescent="0.25">
      <c r="D51" s="6">
        <v>307143</v>
      </c>
      <c r="E51" s="1">
        <v>44804</v>
      </c>
      <c r="F51" s="11">
        <v>6</v>
      </c>
      <c r="H51" s="6">
        <v>307143</v>
      </c>
      <c r="I51" s="1">
        <v>44804</v>
      </c>
      <c r="J51" s="11">
        <v>6</v>
      </c>
    </row>
    <row r="52" spans="4:10" x14ac:dyDescent="0.25">
      <c r="D52" s="6">
        <v>307145</v>
      </c>
      <c r="E52" s="1">
        <v>44702</v>
      </c>
      <c r="F52" s="11">
        <v>2</v>
      </c>
      <c r="H52" s="6">
        <v>307145</v>
      </c>
      <c r="I52" s="1">
        <v>44702</v>
      </c>
      <c r="J52" s="11">
        <v>2</v>
      </c>
    </row>
    <row r="53" spans="4:10" x14ac:dyDescent="0.25">
      <c r="D53" s="6">
        <v>307149</v>
      </c>
      <c r="E53" s="1">
        <v>44750</v>
      </c>
      <c r="F53" s="11">
        <v>5</v>
      </c>
      <c r="H53" s="6">
        <v>307149</v>
      </c>
      <c r="I53" s="1">
        <v>44750</v>
      </c>
      <c r="J53" s="11">
        <v>5</v>
      </c>
    </row>
    <row r="54" spans="4:10" x14ac:dyDescent="0.25">
      <c r="D54" s="6">
        <v>307153</v>
      </c>
      <c r="E54" s="1">
        <v>44626</v>
      </c>
      <c r="F54" s="11">
        <v>6</v>
      </c>
      <c r="H54" s="6">
        <v>307153</v>
      </c>
      <c r="I54" s="1">
        <v>44626</v>
      </c>
      <c r="J54" s="11">
        <v>6</v>
      </c>
    </row>
    <row r="55" spans="4:10" x14ac:dyDescent="0.25">
      <c r="D55" s="6">
        <v>307154</v>
      </c>
      <c r="E55" s="1">
        <v>44746</v>
      </c>
      <c r="F55" s="11">
        <v>5</v>
      </c>
      <c r="H55" s="6">
        <v>307154</v>
      </c>
      <c r="I55" s="1">
        <v>44746</v>
      </c>
      <c r="J55" s="11">
        <v>5</v>
      </c>
    </row>
    <row r="56" spans="4:10" x14ac:dyDescent="0.25">
      <c r="D56" s="6">
        <v>307159</v>
      </c>
      <c r="E56" s="1">
        <v>44566</v>
      </c>
      <c r="F56" s="11">
        <v>4</v>
      </c>
      <c r="H56" s="6">
        <v>307159</v>
      </c>
      <c r="I56" s="1">
        <v>44566</v>
      </c>
      <c r="J56" s="11">
        <v>4</v>
      </c>
    </row>
    <row r="57" spans="4:10" x14ac:dyDescent="0.25">
      <c r="D57" s="6">
        <v>307161</v>
      </c>
      <c r="E57" s="1">
        <v>44630</v>
      </c>
      <c r="F57" s="11">
        <v>5</v>
      </c>
      <c r="H57" s="6">
        <v>307161</v>
      </c>
      <c r="I57" s="1">
        <v>44630</v>
      </c>
      <c r="J57" s="11">
        <v>5</v>
      </c>
    </row>
    <row r="58" spans="4:10" x14ac:dyDescent="0.25">
      <c r="D58" s="6">
        <v>307166</v>
      </c>
      <c r="E58" s="1">
        <v>44788</v>
      </c>
      <c r="F58" s="11">
        <v>4</v>
      </c>
      <c r="H58" s="6">
        <v>307166</v>
      </c>
      <c r="I58" s="1">
        <v>44788</v>
      </c>
      <c r="J58" s="11">
        <v>4</v>
      </c>
    </row>
    <row r="59" spans="4:10" x14ac:dyDescent="0.25">
      <c r="D59" s="6">
        <v>307169</v>
      </c>
      <c r="E59" s="1">
        <v>44578</v>
      </c>
      <c r="F59" s="11">
        <v>4</v>
      </c>
      <c r="H59" s="6">
        <v>307169</v>
      </c>
      <c r="I59" s="1">
        <v>44578</v>
      </c>
      <c r="J59" s="11">
        <v>4</v>
      </c>
    </row>
    <row r="60" spans="4:10" x14ac:dyDescent="0.25">
      <c r="D60" s="6">
        <v>307170</v>
      </c>
      <c r="E60" s="1">
        <v>44857</v>
      </c>
      <c r="F60" s="11">
        <v>1</v>
      </c>
      <c r="H60" s="6">
        <v>307170</v>
      </c>
      <c r="I60" s="1">
        <v>44857</v>
      </c>
      <c r="J60" s="11">
        <v>1</v>
      </c>
    </row>
    <row r="61" spans="4:10" x14ac:dyDescent="0.25">
      <c r="D61" s="6">
        <v>307172</v>
      </c>
      <c r="E61" s="1">
        <v>44843</v>
      </c>
      <c r="F61" s="11">
        <v>2</v>
      </c>
      <c r="H61" s="6">
        <v>307172</v>
      </c>
      <c r="I61" s="1">
        <v>44843</v>
      </c>
      <c r="J61" s="11">
        <v>2</v>
      </c>
    </row>
    <row r="62" spans="4:10" x14ac:dyDescent="0.25">
      <c r="D62" s="6">
        <v>307176</v>
      </c>
      <c r="E62" s="1">
        <v>44769</v>
      </c>
      <c r="F62" s="11">
        <v>2</v>
      </c>
      <c r="H62" s="6">
        <v>307176</v>
      </c>
      <c r="I62" s="1">
        <v>44769</v>
      </c>
      <c r="J62" s="11">
        <v>2</v>
      </c>
    </row>
    <row r="63" spans="4:10" x14ac:dyDescent="0.25">
      <c r="D63" s="6">
        <v>307178</v>
      </c>
      <c r="E63" s="1">
        <v>44804</v>
      </c>
      <c r="F63" s="11">
        <v>2</v>
      </c>
      <c r="H63" s="6">
        <v>307178</v>
      </c>
      <c r="I63" s="1">
        <v>44804</v>
      </c>
      <c r="J63" s="11">
        <v>2</v>
      </c>
    </row>
    <row r="64" spans="4:10" x14ac:dyDescent="0.25">
      <c r="D64" s="6">
        <v>307183</v>
      </c>
      <c r="E64" s="1">
        <v>44577</v>
      </c>
      <c r="F64" s="11">
        <v>4</v>
      </c>
      <c r="H64" s="6">
        <v>307183</v>
      </c>
      <c r="I64" s="1">
        <v>44577</v>
      </c>
      <c r="J64" s="11">
        <v>4</v>
      </c>
    </row>
    <row r="65" spans="4:10" x14ac:dyDescent="0.25">
      <c r="D65" s="6">
        <v>307186</v>
      </c>
      <c r="E65" s="1">
        <v>44579</v>
      </c>
      <c r="F65" s="11">
        <v>2</v>
      </c>
      <c r="H65" s="6">
        <v>307186</v>
      </c>
      <c r="I65" s="1">
        <v>44579</v>
      </c>
      <c r="J65" s="11">
        <v>2</v>
      </c>
    </row>
    <row r="66" spans="4:10" x14ac:dyDescent="0.25">
      <c r="D66" s="6">
        <v>307190</v>
      </c>
      <c r="E66" s="1">
        <v>44582</v>
      </c>
      <c r="F66" s="11">
        <v>4</v>
      </c>
      <c r="H66" s="6">
        <v>307190</v>
      </c>
      <c r="I66" s="1">
        <v>44582</v>
      </c>
      <c r="J66" s="11">
        <v>4</v>
      </c>
    </row>
    <row r="67" spans="4:10" x14ac:dyDescent="0.25">
      <c r="D67" s="6">
        <v>307192</v>
      </c>
      <c r="E67" s="1">
        <v>44596</v>
      </c>
      <c r="F67" s="11">
        <v>6</v>
      </c>
      <c r="H67" s="6">
        <v>307192</v>
      </c>
      <c r="I67" s="1">
        <v>44596</v>
      </c>
      <c r="J67" s="11">
        <v>6</v>
      </c>
    </row>
    <row r="68" spans="4:10" x14ac:dyDescent="0.25">
      <c r="D68" s="6">
        <v>307197</v>
      </c>
      <c r="E68" s="1">
        <v>44707</v>
      </c>
      <c r="F68" s="11">
        <v>1</v>
      </c>
      <c r="H68" s="6">
        <v>307197</v>
      </c>
      <c r="I68" s="1">
        <v>44707</v>
      </c>
      <c r="J68" s="11">
        <v>1</v>
      </c>
    </row>
    <row r="69" spans="4:10" x14ac:dyDescent="0.25">
      <c r="D69" s="6">
        <v>307200</v>
      </c>
      <c r="E69" s="1">
        <v>44623</v>
      </c>
      <c r="F69" s="11">
        <v>4</v>
      </c>
      <c r="H69" s="6">
        <v>307200</v>
      </c>
      <c r="I69" s="1">
        <v>44623</v>
      </c>
      <c r="J69" s="11">
        <v>4</v>
      </c>
    </row>
    <row r="70" spans="4:10" x14ac:dyDescent="0.25">
      <c r="D70" s="6">
        <v>307204</v>
      </c>
      <c r="E70" s="1">
        <v>44819</v>
      </c>
      <c r="F70" s="11">
        <v>1</v>
      </c>
      <c r="H70" s="6">
        <v>307204</v>
      </c>
      <c r="I70" s="1">
        <v>44819</v>
      </c>
      <c r="J70" s="11">
        <v>1</v>
      </c>
    </row>
    <row r="71" spans="4:10" x14ac:dyDescent="0.25">
      <c r="D71" s="6">
        <v>307207</v>
      </c>
      <c r="E71" s="1">
        <v>44798</v>
      </c>
      <c r="F71" s="11">
        <v>2</v>
      </c>
      <c r="H71" s="6">
        <v>307207</v>
      </c>
      <c r="I71" s="1">
        <v>44798</v>
      </c>
      <c r="J71" s="11">
        <v>2</v>
      </c>
    </row>
    <row r="72" spans="4:10" x14ac:dyDescent="0.25">
      <c r="D72" s="6">
        <v>307212</v>
      </c>
      <c r="E72" s="1">
        <v>44623</v>
      </c>
      <c r="F72" s="11">
        <v>1</v>
      </c>
      <c r="H72" s="6">
        <v>307212</v>
      </c>
      <c r="I72" s="1">
        <v>44623</v>
      </c>
      <c r="J72" s="11">
        <v>1</v>
      </c>
    </row>
    <row r="73" spans="4:10" x14ac:dyDescent="0.25">
      <c r="D73" s="6">
        <v>307215</v>
      </c>
      <c r="E73" s="1">
        <v>44749</v>
      </c>
      <c r="F73" s="11">
        <v>1</v>
      </c>
      <c r="H73" s="6">
        <v>307215</v>
      </c>
      <c r="I73" s="1">
        <v>44749</v>
      </c>
      <c r="J73" s="11">
        <v>1</v>
      </c>
    </row>
    <row r="74" spans="4:10" x14ac:dyDescent="0.25">
      <c r="D74" s="6">
        <v>307216</v>
      </c>
      <c r="E74" s="1">
        <v>44568</v>
      </c>
      <c r="F74" s="11">
        <v>3</v>
      </c>
      <c r="H74" s="6">
        <v>307216</v>
      </c>
      <c r="I74" s="1">
        <v>44568</v>
      </c>
      <c r="J74" s="11">
        <v>3</v>
      </c>
    </row>
    <row r="75" spans="4:10" x14ac:dyDescent="0.25">
      <c r="D75" s="6">
        <v>307217</v>
      </c>
      <c r="E75" s="1">
        <v>44603</v>
      </c>
      <c r="F75" s="11">
        <v>3</v>
      </c>
      <c r="H75" s="6">
        <v>307217</v>
      </c>
      <c r="I75" s="1">
        <v>44603</v>
      </c>
      <c r="J75" s="11">
        <v>3</v>
      </c>
    </row>
    <row r="76" spans="4:10" x14ac:dyDescent="0.25">
      <c r="D76" s="6">
        <v>307219</v>
      </c>
      <c r="E76" s="1">
        <v>44747</v>
      </c>
      <c r="F76" s="11">
        <v>3</v>
      </c>
      <c r="H76" s="6">
        <v>307219</v>
      </c>
      <c r="I76" s="1">
        <v>44747</v>
      </c>
      <c r="J76" s="11">
        <v>3</v>
      </c>
    </row>
    <row r="77" spans="4:10" x14ac:dyDescent="0.25">
      <c r="D77" s="6">
        <v>307223</v>
      </c>
      <c r="E77" s="1">
        <v>44842</v>
      </c>
      <c r="F77" s="11">
        <v>1</v>
      </c>
      <c r="H77" s="6">
        <v>307223</v>
      </c>
      <c r="I77" s="1">
        <v>44842</v>
      </c>
      <c r="J77" s="11">
        <v>1</v>
      </c>
    </row>
    <row r="78" spans="4:10" x14ac:dyDescent="0.25">
      <c r="D78" s="6">
        <v>307226</v>
      </c>
      <c r="E78" s="1">
        <v>44707</v>
      </c>
      <c r="F78" s="11">
        <v>4</v>
      </c>
      <c r="H78" s="6">
        <v>307226</v>
      </c>
      <c r="I78" s="1">
        <v>44707</v>
      </c>
      <c r="J78" s="11">
        <v>4</v>
      </c>
    </row>
    <row r="79" spans="4:10" x14ac:dyDescent="0.25">
      <c r="D79" s="6">
        <v>307227</v>
      </c>
      <c r="E79" s="1">
        <v>44606</v>
      </c>
      <c r="F79" s="11">
        <v>4</v>
      </c>
      <c r="H79" s="6">
        <v>307227</v>
      </c>
      <c r="I79" s="1">
        <v>44606</v>
      </c>
      <c r="J79" s="11">
        <v>4</v>
      </c>
    </row>
    <row r="80" spans="4:10" x14ac:dyDescent="0.25">
      <c r="D80" s="6">
        <v>307231</v>
      </c>
      <c r="E80" s="1">
        <v>44660</v>
      </c>
      <c r="F80" s="11">
        <v>4</v>
      </c>
      <c r="H80" s="6">
        <v>307231</v>
      </c>
      <c r="I80" s="1">
        <v>44660</v>
      </c>
      <c r="J80" s="11">
        <v>4</v>
      </c>
    </row>
    <row r="81" spans="4:10" x14ac:dyDescent="0.25">
      <c r="D81" s="6">
        <v>307233</v>
      </c>
      <c r="E81" s="1">
        <v>44756</v>
      </c>
      <c r="F81" s="11">
        <v>1</v>
      </c>
      <c r="H81" s="6">
        <v>307233</v>
      </c>
      <c r="I81" s="1">
        <v>44756</v>
      </c>
      <c r="J81" s="11">
        <v>1</v>
      </c>
    </row>
    <row r="82" spans="4:10" x14ac:dyDescent="0.25">
      <c r="D82" s="6">
        <v>307237</v>
      </c>
      <c r="E82" s="1">
        <v>44644</v>
      </c>
      <c r="F82" s="11">
        <v>4</v>
      </c>
      <c r="H82" s="6">
        <v>307237</v>
      </c>
      <c r="I82" s="1">
        <v>44644</v>
      </c>
      <c r="J82" s="11">
        <v>4</v>
      </c>
    </row>
    <row r="83" spans="4:10" x14ac:dyDescent="0.25">
      <c r="D83" s="6">
        <v>307239</v>
      </c>
      <c r="E83" s="1">
        <v>44578</v>
      </c>
      <c r="F83" s="11">
        <v>4</v>
      </c>
      <c r="H83" s="6">
        <v>307239</v>
      </c>
      <c r="I83" s="1">
        <v>44578</v>
      </c>
      <c r="J83" s="11">
        <v>4</v>
      </c>
    </row>
    <row r="84" spans="4:10" x14ac:dyDescent="0.25">
      <c r="D84" s="6">
        <v>307241</v>
      </c>
      <c r="E84" s="1">
        <v>44833</v>
      </c>
      <c r="F84" s="11">
        <v>2</v>
      </c>
      <c r="H84" s="6">
        <v>307241</v>
      </c>
      <c r="I84" s="1">
        <v>44833</v>
      </c>
      <c r="J84" s="11">
        <v>2</v>
      </c>
    </row>
    <row r="85" spans="4:10" x14ac:dyDescent="0.25">
      <c r="D85" s="6">
        <v>307245</v>
      </c>
      <c r="E85" s="1">
        <v>44667</v>
      </c>
      <c r="F85" s="11">
        <v>3</v>
      </c>
      <c r="H85" s="6">
        <v>307245</v>
      </c>
      <c r="I85" s="1">
        <v>44667</v>
      </c>
      <c r="J85" s="11">
        <v>3</v>
      </c>
    </row>
    <row r="86" spans="4:10" x14ac:dyDescent="0.25">
      <c r="D86" s="6">
        <v>307249</v>
      </c>
      <c r="E86" s="1">
        <v>44800</v>
      </c>
      <c r="F86" s="11">
        <v>1</v>
      </c>
      <c r="H86" s="6">
        <v>307249</v>
      </c>
      <c r="I86" s="1">
        <v>44800</v>
      </c>
      <c r="J86" s="11">
        <v>1</v>
      </c>
    </row>
    <row r="87" spans="4:10" x14ac:dyDescent="0.25">
      <c r="D87" s="6">
        <v>307252</v>
      </c>
      <c r="E87" s="1">
        <v>44579</v>
      </c>
      <c r="F87" s="11">
        <v>5</v>
      </c>
      <c r="H87" s="6">
        <v>307252</v>
      </c>
      <c r="I87" s="1">
        <v>44579</v>
      </c>
      <c r="J87" s="11">
        <v>5</v>
      </c>
    </row>
    <row r="88" spans="4:10" x14ac:dyDescent="0.25">
      <c r="D88" s="6">
        <v>307255</v>
      </c>
      <c r="E88" s="1">
        <v>44832</v>
      </c>
      <c r="F88" s="11">
        <v>1</v>
      </c>
      <c r="H88" s="6">
        <v>307255</v>
      </c>
      <c r="I88" s="1">
        <v>44832</v>
      </c>
      <c r="J88" s="11">
        <v>1</v>
      </c>
    </row>
    <row r="89" spans="4:10" x14ac:dyDescent="0.25">
      <c r="D89" s="6">
        <v>307257</v>
      </c>
      <c r="E89" s="1">
        <v>44818</v>
      </c>
      <c r="F89" s="11">
        <v>2</v>
      </c>
      <c r="H89" s="6">
        <v>307257</v>
      </c>
      <c r="I89" s="1">
        <v>44818</v>
      </c>
      <c r="J89" s="11">
        <v>2</v>
      </c>
    </row>
    <row r="90" spans="4:10" x14ac:dyDescent="0.25">
      <c r="D90" s="6">
        <v>307260</v>
      </c>
      <c r="E90" s="1">
        <v>44639</v>
      </c>
      <c r="F90" s="11">
        <v>3</v>
      </c>
      <c r="H90" s="6">
        <v>307260</v>
      </c>
      <c r="I90" s="1">
        <v>44639</v>
      </c>
      <c r="J90" s="11">
        <v>3</v>
      </c>
    </row>
    <row r="91" spans="4:10" x14ac:dyDescent="0.25">
      <c r="D91" s="6">
        <v>307261</v>
      </c>
      <c r="E91" s="1">
        <v>44660</v>
      </c>
      <c r="F91" s="11">
        <v>6</v>
      </c>
      <c r="H91" s="6">
        <v>307261</v>
      </c>
      <c r="I91" s="1">
        <v>44660</v>
      </c>
      <c r="J91" s="11">
        <v>6</v>
      </c>
    </row>
    <row r="92" spans="4:10" x14ac:dyDescent="0.25">
      <c r="D92" s="6">
        <v>307266</v>
      </c>
      <c r="E92" s="1">
        <v>44713</v>
      </c>
      <c r="F92" s="11">
        <v>2</v>
      </c>
      <c r="H92" s="6">
        <v>307266</v>
      </c>
      <c r="I92" s="1">
        <v>44713</v>
      </c>
      <c r="J92" s="11">
        <v>2</v>
      </c>
    </row>
    <row r="93" spans="4:10" x14ac:dyDescent="0.25">
      <c r="D93" s="6">
        <v>307267</v>
      </c>
      <c r="E93" s="1">
        <v>44826</v>
      </c>
      <c r="F93" s="11">
        <v>1</v>
      </c>
      <c r="H93" s="6">
        <v>307267</v>
      </c>
      <c r="I93" s="1">
        <v>44826</v>
      </c>
      <c r="J93" s="11">
        <v>1</v>
      </c>
    </row>
    <row r="94" spans="4:10" x14ac:dyDescent="0.25">
      <c r="D94" s="6">
        <v>307271</v>
      </c>
      <c r="E94" s="1">
        <v>44848</v>
      </c>
      <c r="F94" s="11">
        <v>5</v>
      </c>
      <c r="H94" s="6">
        <v>307271</v>
      </c>
      <c r="I94" s="1">
        <v>44848</v>
      </c>
      <c r="J94" s="11">
        <v>5</v>
      </c>
    </row>
    <row r="95" spans="4:10" x14ac:dyDescent="0.25">
      <c r="D95" s="6">
        <v>307276</v>
      </c>
      <c r="E95" s="1">
        <v>44736</v>
      </c>
      <c r="F95" s="11">
        <v>4</v>
      </c>
      <c r="H95" s="6">
        <v>307276</v>
      </c>
      <c r="I95" s="1">
        <v>44736</v>
      </c>
      <c r="J95" s="11">
        <v>4</v>
      </c>
    </row>
    <row r="96" spans="4:10" x14ac:dyDescent="0.25">
      <c r="D96" s="6">
        <v>307281</v>
      </c>
      <c r="E96" s="1">
        <v>44743</v>
      </c>
      <c r="F96" s="11">
        <v>3</v>
      </c>
      <c r="H96" s="6">
        <v>307281</v>
      </c>
      <c r="I96" s="1">
        <v>44743</v>
      </c>
      <c r="J96" s="11">
        <v>3</v>
      </c>
    </row>
    <row r="97" spans="4:10" x14ac:dyDescent="0.25">
      <c r="D97" s="6">
        <v>307284</v>
      </c>
      <c r="E97" s="1">
        <v>44736</v>
      </c>
      <c r="F97" s="11">
        <v>3</v>
      </c>
      <c r="H97" s="6">
        <v>307284</v>
      </c>
      <c r="I97" s="1">
        <v>44736</v>
      </c>
      <c r="J97" s="11">
        <v>3</v>
      </c>
    </row>
    <row r="98" spans="4:10" x14ac:dyDescent="0.25">
      <c r="D98" s="6">
        <v>307288</v>
      </c>
      <c r="E98" s="1">
        <v>44813</v>
      </c>
      <c r="F98" s="11">
        <v>2</v>
      </c>
      <c r="H98" s="6">
        <v>307288</v>
      </c>
      <c r="I98" s="1">
        <v>44813</v>
      </c>
      <c r="J98" s="11">
        <v>2</v>
      </c>
    </row>
    <row r="99" spans="4:10" x14ac:dyDescent="0.25">
      <c r="D99" s="6">
        <v>307289</v>
      </c>
      <c r="E99" s="1">
        <v>44786</v>
      </c>
      <c r="F99" s="11">
        <v>3</v>
      </c>
      <c r="H99" s="6">
        <v>307289</v>
      </c>
      <c r="I99" s="1">
        <v>44786</v>
      </c>
      <c r="J99" s="11">
        <v>3</v>
      </c>
    </row>
    <row r="100" spans="4:10" x14ac:dyDescent="0.25">
      <c r="D100" s="6">
        <v>307291</v>
      </c>
      <c r="E100" s="1">
        <v>44726</v>
      </c>
      <c r="F100" s="11">
        <v>2</v>
      </c>
      <c r="H100" s="6">
        <v>307291</v>
      </c>
      <c r="I100" s="1">
        <v>44726</v>
      </c>
      <c r="J100" s="11">
        <v>2</v>
      </c>
    </row>
    <row r="101" spans="4:10" x14ac:dyDescent="0.25">
      <c r="D101" s="6">
        <v>307295</v>
      </c>
      <c r="E101" s="1">
        <v>44788</v>
      </c>
      <c r="F101" s="11">
        <v>2</v>
      </c>
      <c r="H101" s="6">
        <v>307295</v>
      </c>
      <c r="I101" s="1">
        <v>44788</v>
      </c>
      <c r="J101" s="11">
        <v>2</v>
      </c>
    </row>
    <row r="102" spans="4:10" x14ac:dyDescent="0.25">
      <c r="D102" s="6">
        <v>307297</v>
      </c>
      <c r="E102" s="1">
        <v>44765</v>
      </c>
      <c r="F102" s="11">
        <v>1</v>
      </c>
      <c r="H102" s="6">
        <v>307297</v>
      </c>
      <c r="I102" s="1">
        <v>44765</v>
      </c>
      <c r="J102" s="11">
        <v>1</v>
      </c>
    </row>
    <row r="103" spans="4:10" x14ac:dyDescent="0.25">
      <c r="D103" s="6">
        <v>307299</v>
      </c>
      <c r="E103" s="1">
        <v>44718</v>
      </c>
      <c r="F103" s="11">
        <v>3</v>
      </c>
      <c r="H103" s="6">
        <v>307299</v>
      </c>
      <c r="I103" s="1">
        <v>44718</v>
      </c>
      <c r="J103" s="11">
        <v>3</v>
      </c>
    </row>
    <row r="104" spans="4:10" x14ac:dyDescent="0.25">
      <c r="D104" s="6">
        <v>307304</v>
      </c>
      <c r="E104" s="1">
        <v>44795</v>
      </c>
      <c r="F104" s="11">
        <v>6</v>
      </c>
      <c r="H104" s="6">
        <v>307304</v>
      </c>
      <c r="I104" s="1">
        <v>44795</v>
      </c>
      <c r="J104" s="11">
        <v>6</v>
      </c>
    </row>
    <row r="105" spans="4:10" x14ac:dyDescent="0.25">
      <c r="D105" s="6">
        <v>307305</v>
      </c>
      <c r="E105" s="1">
        <v>44663</v>
      </c>
      <c r="F105" s="11">
        <v>2</v>
      </c>
      <c r="H105" s="6">
        <v>307305</v>
      </c>
      <c r="I105" s="1">
        <v>44663</v>
      </c>
      <c r="J105" s="11">
        <v>2</v>
      </c>
    </row>
    <row r="106" spans="4:10" x14ac:dyDescent="0.25">
      <c r="D106" s="6">
        <v>307307</v>
      </c>
      <c r="E106" s="1">
        <v>44703</v>
      </c>
      <c r="F106" s="11">
        <v>1</v>
      </c>
      <c r="H106" s="6">
        <v>307307</v>
      </c>
      <c r="I106" s="1">
        <v>44703</v>
      </c>
      <c r="J106" s="11">
        <v>1</v>
      </c>
    </row>
    <row r="107" spans="4:10" x14ac:dyDescent="0.25">
      <c r="D107" s="6">
        <v>307308</v>
      </c>
      <c r="E107" s="1">
        <v>44627</v>
      </c>
      <c r="F107" s="11">
        <v>6</v>
      </c>
      <c r="H107" s="6">
        <v>307308</v>
      </c>
      <c r="I107" s="1">
        <v>44627</v>
      </c>
      <c r="J107" s="11">
        <v>6</v>
      </c>
    </row>
    <row r="108" spans="4:10" x14ac:dyDescent="0.25">
      <c r="D108" s="6">
        <v>307309</v>
      </c>
      <c r="E108" s="1">
        <v>44808</v>
      </c>
      <c r="F108" s="11">
        <v>6</v>
      </c>
      <c r="H108" s="6">
        <v>307309</v>
      </c>
      <c r="I108" s="1">
        <v>44808</v>
      </c>
      <c r="J108" s="11">
        <v>6</v>
      </c>
    </row>
    <row r="109" spans="4:10" x14ac:dyDescent="0.25">
      <c r="D109" s="6">
        <v>307313</v>
      </c>
      <c r="E109" s="1">
        <v>44718</v>
      </c>
      <c r="F109" s="11">
        <v>4</v>
      </c>
      <c r="H109" s="6">
        <v>307313</v>
      </c>
      <c r="I109" s="1">
        <v>44718</v>
      </c>
      <c r="J109" s="11">
        <v>4</v>
      </c>
    </row>
    <row r="110" spans="4:10" x14ac:dyDescent="0.25">
      <c r="D110" s="6">
        <v>307316</v>
      </c>
      <c r="E110" s="1">
        <v>44845</v>
      </c>
      <c r="F110" s="11">
        <v>5</v>
      </c>
      <c r="H110" s="6">
        <v>307316</v>
      </c>
      <c r="I110" s="1">
        <v>44845</v>
      </c>
      <c r="J110" s="11">
        <v>5</v>
      </c>
    </row>
    <row r="111" spans="4:10" x14ac:dyDescent="0.25">
      <c r="D111" s="6">
        <v>307320</v>
      </c>
      <c r="E111" s="1">
        <v>44830</v>
      </c>
      <c r="F111" s="11">
        <v>2</v>
      </c>
      <c r="H111" s="6">
        <v>307320</v>
      </c>
      <c r="I111" s="1">
        <v>44830</v>
      </c>
      <c r="J111" s="11">
        <v>2</v>
      </c>
    </row>
    <row r="112" spans="4:10" x14ac:dyDescent="0.25">
      <c r="D112" s="6">
        <v>307323</v>
      </c>
      <c r="E112" s="1">
        <v>44798</v>
      </c>
      <c r="F112" s="11">
        <v>2</v>
      </c>
      <c r="H112" s="6">
        <v>307323</v>
      </c>
      <c r="I112" s="1">
        <v>44798</v>
      </c>
      <c r="J112" s="11">
        <v>2</v>
      </c>
    </row>
    <row r="113" spans="4:10" x14ac:dyDescent="0.25">
      <c r="D113" s="6">
        <v>307328</v>
      </c>
      <c r="E113" s="1">
        <v>44698</v>
      </c>
      <c r="F113" s="11">
        <v>4</v>
      </c>
      <c r="H113" s="6">
        <v>307328</v>
      </c>
      <c r="I113" s="1">
        <v>44698</v>
      </c>
      <c r="J113" s="11">
        <v>4</v>
      </c>
    </row>
    <row r="114" spans="4:10" x14ac:dyDescent="0.25">
      <c r="D114" s="6">
        <v>307331</v>
      </c>
      <c r="E114" s="1">
        <v>44762</v>
      </c>
      <c r="F114" s="11">
        <v>5</v>
      </c>
      <c r="H114" s="6">
        <v>307331</v>
      </c>
      <c r="I114" s="1">
        <v>44762</v>
      </c>
      <c r="J114" s="11">
        <v>5</v>
      </c>
    </row>
    <row r="115" spans="4:10" x14ac:dyDescent="0.25">
      <c r="D115" s="6">
        <v>307336</v>
      </c>
      <c r="E115" s="1">
        <v>44570</v>
      </c>
      <c r="F115" s="11">
        <v>5</v>
      </c>
      <c r="H115" s="6">
        <v>307336</v>
      </c>
      <c r="I115" s="1">
        <v>44570</v>
      </c>
      <c r="J115" s="11">
        <v>5</v>
      </c>
    </row>
    <row r="116" spans="4:10" x14ac:dyDescent="0.25">
      <c r="D116" s="6">
        <v>307341</v>
      </c>
      <c r="E116" s="1">
        <v>44743</v>
      </c>
      <c r="F116" s="11">
        <v>1</v>
      </c>
      <c r="H116" s="6">
        <v>307341</v>
      </c>
      <c r="I116" s="1">
        <v>44743</v>
      </c>
      <c r="J116" s="11">
        <v>1</v>
      </c>
    </row>
    <row r="117" spans="4:10" x14ac:dyDescent="0.25">
      <c r="D117" s="6">
        <v>307346</v>
      </c>
      <c r="E117" s="1">
        <v>44798</v>
      </c>
      <c r="F117" s="11">
        <v>1</v>
      </c>
      <c r="H117" s="6">
        <v>307346</v>
      </c>
      <c r="I117" s="1">
        <v>44798</v>
      </c>
      <c r="J117" s="11">
        <v>1</v>
      </c>
    </row>
    <row r="118" spans="4:10" x14ac:dyDescent="0.25">
      <c r="D118" s="6">
        <v>307349</v>
      </c>
      <c r="E118" s="1">
        <v>44846</v>
      </c>
      <c r="F118" s="11">
        <v>1</v>
      </c>
      <c r="H118" s="6">
        <v>307349</v>
      </c>
      <c r="I118" s="1">
        <v>44846</v>
      </c>
      <c r="J118" s="11">
        <v>1</v>
      </c>
    </row>
    <row r="119" spans="4:10" x14ac:dyDescent="0.25">
      <c r="D119" s="6">
        <v>307351</v>
      </c>
      <c r="E119" s="1">
        <v>44784</v>
      </c>
      <c r="F119" s="11">
        <v>1</v>
      </c>
      <c r="H119" s="6">
        <v>307351</v>
      </c>
      <c r="I119" s="1">
        <v>44784</v>
      </c>
      <c r="J119" s="11">
        <v>1</v>
      </c>
    </row>
    <row r="120" spans="4:10" x14ac:dyDescent="0.25">
      <c r="D120" s="6">
        <v>307356</v>
      </c>
      <c r="E120" s="1">
        <v>44632</v>
      </c>
      <c r="F120" s="11">
        <v>4</v>
      </c>
      <c r="H120" s="6">
        <v>307356</v>
      </c>
      <c r="I120" s="1">
        <v>44632</v>
      </c>
      <c r="J120" s="11">
        <v>4</v>
      </c>
    </row>
    <row r="121" spans="4:10" x14ac:dyDescent="0.25">
      <c r="D121" s="6">
        <v>307357</v>
      </c>
      <c r="E121" s="1">
        <v>44617</v>
      </c>
      <c r="F121" s="11">
        <v>5</v>
      </c>
      <c r="H121" s="6">
        <v>307357</v>
      </c>
      <c r="I121" s="1">
        <v>44617</v>
      </c>
      <c r="J121" s="11">
        <v>5</v>
      </c>
    </row>
    <row r="122" spans="4:10" x14ac:dyDescent="0.25">
      <c r="D122" s="6">
        <v>307358</v>
      </c>
      <c r="E122" s="1">
        <v>44770</v>
      </c>
      <c r="F122" s="11">
        <v>1</v>
      </c>
      <c r="H122" s="6">
        <v>307358</v>
      </c>
      <c r="I122" s="1">
        <v>44770</v>
      </c>
      <c r="J122" s="11">
        <v>1</v>
      </c>
    </row>
    <row r="123" spans="4:10" x14ac:dyDescent="0.25">
      <c r="D123" s="6">
        <v>307363</v>
      </c>
      <c r="E123" s="1">
        <v>44742</v>
      </c>
      <c r="F123" s="11">
        <v>4</v>
      </c>
      <c r="H123" s="6">
        <v>307363</v>
      </c>
      <c r="I123" s="1">
        <v>44742</v>
      </c>
      <c r="J123" s="11">
        <v>4</v>
      </c>
    </row>
    <row r="124" spans="4:10" x14ac:dyDescent="0.25">
      <c r="D124" s="6">
        <v>307365</v>
      </c>
      <c r="E124" s="1">
        <v>44744</v>
      </c>
      <c r="F124" s="11">
        <v>5</v>
      </c>
      <c r="H124" s="6">
        <v>307365</v>
      </c>
      <c r="I124" s="1">
        <v>44744</v>
      </c>
      <c r="J124" s="11">
        <v>5</v>
      </c>
    </row>
    <row r="125" spans="4:10" x14ac:dyDescent="0.25">
      <c r="D125" s="6">
        <v>307370</v>
      </c>
      <c r="E125" s="1">
        <v>44653</v>
      </c>
      <c r="F125" s="11">
        <v>2</v>
      </c>
      <c r="H125" s="6">
        <v>307370</v>
      </c>
      <c r="I125" s="1">
        <v>44653</v>
      </c>
      <c r="J125" s="11">
        <v>2</v>
      </c>
    </row>
    <row r="126" spans="4:10" x14ac:dyDescent="0.25">
      <c r="D126" s="6">
        <v>307375</v>
      </c>
      <c r="E126" s="1">
        <v>44635</v>
      </c>
      <c r="F126" s="11">
        <v>1</v>
      </c>
      <c r="H126" s="6">
        <v>307375</v>
      </c>
      <c r="I126" s="1">
        <v>44635</v>
      </c>
      <c r="J126" s="11">
        <v>1</v>
      </c>
    </row>
    <row r="127" spans="4:10" x14ac:dyDescent="0.25">
      <c r="D127" s="6">
        <v>307377</v>
      </c>
      <c r="E127" s="1">
        <v>44638</v>
      </c>
      <c r="F127" s="11">
        <v>1</v>
      </c>
      <c r="H127" s="6">
        <v>307377</v>
      </c>
      <c r="I127" s="1">
        <v>44638</v>
      </c>
      <c r="J127" s="11">
        <v>1</v>
      </c>
    </row>
    <row r="128" spans="4:10" x14ac:dyDescent="0.25">
      <c r="D128" s="6">
        <v>307378</v>
      </c>
      <c r="E128" s="1">
        <v>44635</v>
      </c>
      <c r="F128" s="11">
        <v>4</v>
      </c>
      <c r="H128" s="6">
        <v>307378</v>
      </c>
      <c r="I128" s="1">
        <v>44635</v>
      </c>
      <c r="J128" s="11">
        <v>4</v>
      </c>
    </row>
    <row r="129" spans="4:10" x14ac:dyDescent="0.25">
      <c r="D129" s="6">
        <v>307379</v>
      </c>
      <c r="E129" s="1">
        <v>44724</v>
      </c>
      <c r="F129" s="11">
        <v>1</v>
      </c>
      <c r="H129" s="6">
        <v>307379</v>
      </c>
      <c r="I129" s="1">
        <v>44724</v>
      </c>
      <c r="J129" s="11">
        <v>1</v>
      </c>
    </row>
    <row r="130" spans="4:10" x14ac:dyDescent="0.25">
      <c r="D130" s="6">
        <v>307381</v>
      </c>
      <c r="E130" s="1">
        <v>44612</v>
      </c>
      <c r="F130" s="11">
        <v>4</v>
      </c>
      <c r="H130" s="6">
        <v>307381</v>
      </c>
      <c r="I130" s="1">
        <v>44612</v>
      </c>
      <c r="J130" s="11">
        <v>4</v>
      </c>
    </row>
    <row r="131" spans="4:10" x14ac:dyDescent="0.25">
      <c r="D131" s="6">
        <v>307385</v>
      </c>
      <c r="E131" s="1">
        <v>44864</v>
      </c>
      <c r="F131" s="11">
        <v>4</v>
      </c>
      <c r="H131" s="6">
        <v>307385</v>
      </c>
      <c r="I131" s="1">
        <v>44864</v>
      </c>
      <c r="J131" s="11">
        <v>4</v>
      </c>
    </row>
    <row r="132" spans="4:10" x14ac:dyDescent="0.25">
      <c r="D132" s="6">
        <v>307390</v>
      </c>
      <c r="E132" s="1">
        <v>44857</v>
      </c>
      <c r="F132" s="11">
        <v>3</v>
      </c>
      <c r="H132" s="6">
        <v>307390</v>
      </c>
      <c r="I132" s="1">
        <v>44857</v>
      </c>
      <c r="J132" s="11">
        <v>3</v>
      </c>
    </row>
    <row r="133" spans="4:10" x14ac:dyDescent="0.25">
      <c r="D133" s="6">
        <v>307395</v>
      </c>
      <c r="E133" s="1">
        <v>44634</v>
      </c>
      <c r="F133" s="11">
        <v>1</v>
      </c>
      <c r="H133" s="6">
        <v>307395</v>
      </c>
      <c r="I133" s="1">
        <v>44634</v>
      </c>
      <c r="J133" s="11">
        <v>1</v>
      </c>
    </row>
    <row r="134" spans="4:10" x14ac:dyDescent="0.25">
      <c r="D134" s="6">
        <v>307396</v>
      </c>
      <c r="E134" s="1">
        <v>44646</v>
      </c>
      <c r="F134" s="11">
        <v>1</v>
      </c>
      <c r="H134" s="6">
        <v>307396</v>
      </c>
      <c r="I134" s="1">
        <v>44646</v>
      </c>
      <c r="J134" s="11">
        <v>1</v>
      </c>
    </row>
    <row r="135" spans="4:10" x14ac:dyDescent="0.25">
      <c r="D135" s="6">
        <v>307400</v>
      </c>
      <c r="E135" s="1">
        <v>44781</v>
      </c>
      <c r="F135" s="11">
        <v>1</v>
      </c>
      <c r="H135" s="6">
        <v>307400</v>
      </c>
      <c r="I135" s="1">
        <v>44781</v>
      </c>
      <c r="J135" s="11">
        <v>1</v>
      </c>
    </row>
    <row r="136" spans="4:10" x14ac:dyDescent="0.25">
      <c r="D136" s="6">
        <v>307403</v>
      </c>
      <c r="E136" s="1">
        <v>44684</v>
      </c>
      <c r="F136" s="11">
        <v>3</v>
      </c>
      <c r="H136" s="6">
        <v>307403</v>
      </c>
      <c r="I136" s="1">
        <v>44684</v>
      </c>
      <c r="J136" s="11">
        <v>3</v>
      </c>
    </row>
    <row r="137" spans="4:10" x14ac:dyDescent="0.25">
      <c r="D137" s="6">
        <v>307406</v>
      </c>
      <c r="E137" s="1">
        <v>44678</v>
      </c>
      <c r="F137" s="11">
        <v>1</v>
      </c>
      <c r="H137" s="6">
        <v>307406</v>
      </c>
      <c r="I137" s="1">
        <v>44678</v>
      </c>
      <c r="J137" s="11">
        <v>1</v>
      </c>
    </row>
    <row r="138" spans="4:10" x14ac:dyDescent="0.25">
      <c r="D138" s="6">
        <v>307407</v>
      </c>
      <c r="E138" s="1">
        <v>44657</v>
      </c>
      <c r="F138" s="11">
        <v>3</v>
      </c>
      <c r="H138" s="6">
        <v>307407</v>
      </c>
      <c r="I138" s="1">
        <v>44657</v>
      </c>
      <c r="J138" s="11">
        <v>3</v>
      </c>
    </row>
    <row r="139" spans="4:10" x14ac:dyDescent="0.25">
      <c r="D139" s="6">
        <v>307412</v>
      </c>
      <c r="E139" s="1">
        <v>44841</v>
      </c>
      <c r="F139" s="11">
        <v>4</v>
      </c>
      <c r="H139" s="6">
        <v>307412</v>
      </c>
      <c r="I139" s="1">
        <v>44841</v>
      </c>
      <c r="J139" s="11">
        <v>4</v>
      </c>
    </row>
    <row r="140" spans="4:10" x14ac:dyDescent="0.25">
      <c r="D140" s="6">
        <v>307417</v>
      </c>
      <c r="E140" s="1">
        <v>44616</v>
      </c>
      <c r="F140" s="11">
        <v>2</v>
      </c>
      <c r="H140" s="6">
        <v>307417</v>
      </c>
      <c r="I140" s="1">
        <v>44616</v>
      </c>
      <c r="J140" s="11">
        <v>2</v>
      </c>
    </row>
    <row r="141" spans="4:10" x14ac:dyDescent="0.25">
      <c r="D141" s="6">
        <v>307418</v>
      </c>
      <c r="E141" s="1">
        <v>44689</v>
      </c>
      <c r="F141" s="11">
        <v>2</v>
      </c>
      <c r="H141" s="6">
        <v>307418</v>
      </c>
      <c r="I141" s="1">
        <v>44689</v>
      </c>
      <c r="J141" s="11">
        <v>2</v>
      </c>
    </row>
    <row r="142" spans="4:10" x14ac:dyDescent="0.25">
      <c r="D142" s="6">
        <v>307421</v>
      </c>
      <c r="E142" s="1">
        <v>44688</v>
      </c>
      <c r="F142" s="11">
        <v>5</v>
      </c>
      <c r="H142" s="6">
        <v>307421</v>
      </c>
      <c r="I142" s="1">
        <v>44688</v>
      </c>
      <c r="J142" s="11">
        <v>5</v>
      </c>
    </row>
    <row r="143" spans="4:10" x14ac:dyDescent="0.25">
      <c r="D143" s="6">
        <v>307425</v>
      </c>
      <c r="E143" s="1">
        <v>44777</v>
      </c>
      <c r="F143" s="11">
        <v>1</v>
      </c>
      <c r="H143" s="6">
        <v>307425</v>
      </c>
      <c r="I143" s="1">
        <v>44777</v>
      </c>
      <c r="J143" s="11">
        <v>1</v>
      </c>
    </row>
    <row r="144" spans="4:10" x14ac:dyDescent="0.25">
      <c r="D144" s="6">
        <v>307428</v>
      </c>
      <c r="E144" s="1">
        <v>44766</v>
      </c>
      <c r="F144" s="11">
        <v>1</v>
      </c>
      <c r="H144" s="6">
        <v>307428</v>
      </c>
      <c r="I144" s="1">
        <v>44766</v>
      </c>
      <c r="J144" s="11">
        <v>1</v>
      </c>
    </row>
    <row r="145" spans="4:10" x14ac:dyDescent="0.25">
      <c r="D145" s="6">
        <v>307429</v>
      </c>
      <c r="E145" s="1">
        <v>44604</v>
      </c>
      <c r="F145" s="11">
        <v>1</v>
      </c>
      <c r="H145" s="6">
        <v>307429</v>
      </c>
      <c r="I145" s="1">
        <v>44604</v>
      </c>
      <c r="J145" s="11">
        <v>1</v>
      </c>
    </row>
    <row r="146" spans="4:10" x14ac:dyDescent="0.25">
      <c r="D146" s="6">
        <v>307431</v>
      </c>
      <c r="E146" s="1">
        <v>44785</v>
      </c>
      <c r="F146" s="11">
        <v>1</v>
      </c>
      <c r="H146" s="6">
        <v>307431</v>
      </c>
      <c r="I146" s="1">
        <v>44785</v>
      </c>
      <c r="J146" s="11">
        <v>1</v>
      </c>
    </row>
    <row r="147" spans="4:10" x14ac:dyDescent="0.25">
      <c r="D147" s="6">
        <v>307432</v>
      </c>
      <c r="E147" s="1">
        <v>44636</v>
      </c>
      <c r="F147" s="11">
        <v>1</v>
      </c>
      <c r="H147" s="6">
        <v>307432</v>
      </c>
      <c r="I147" s="1">
        <v>44636</v>
      </c>
      <c r="J147" s="11">
        <v>1</v>
      </c>
    </row>
    <row r="148" spans="4:10" x14ac:dyDescent="0.25">
      <c r="D148" s="6">
        <v>307435</v>
      </c>
      <c r="E148" s="1">
        <v>44855</v>
      </c>
      <c r="F148" s="11">
        <v>1</v>
      </c>
      <c r="H148" s="6">
        <v>307435</v>
      </c>
      <c r="I148" s="1">
        <v>44855</v>
      </c>
      <c r="J148" s="11">
        <v>1</v>
      </c>
    </row>
    <row r="149" spans="4:10" x14ac:dyDescent="0.25">
      <c r="D149" s="6">
        <v>307440</v>
      </c>
      <c r="E149" s="1">
        <v>44714</v>
      </c>
      <c r="F149" s="11">
        <v>2</v>
      </c>
      <c r="H149" s="6">
        <v>307440</v>
      </c>
      <c r="I149" s="1">
        <v>44714</v>
      </c>
      <c r="J149" s="11">
        <v>2</v>
      </c>
    </row>
    <row r="150" spans="4:10" x14ac:dyDescent="0.25">
      <c r="D150" s="6">
        <v>307444</v>
      </c>
      <c r="E150" s="1">
        <v>44623</v>
      </c>
      <c r="F150" s="11">
        <v>4</v>
      </c>
      <c r="H150" s="6">
        <v>307444</v>
      </c>
      <c r="I150" s="1">
        <v>44623</v>
      </c>
      <c r="J150" s="11">
        <v>4</v>
      </c>
    </row>
    <row r="151" spans="4:10" x14ac:dyDescent="0.25">
      <c r="D151" s="6">
        <v>307449</v>
      </c>
      <c r="E151" s="1">
        <v>44596</v>
      </c>
      <c r="F151" s="11">
        <v>3</v>
      </c>
      <c r="H151" s="6">
        <v>307449</v>
      </c>
      <c r="I151" s="1">
        <v>44596</v>
      </c>
      <c r="J151" s="11">
        <v>3</v>
      </c>
    </row>
    <row r="152" spans="4:10" x14ac:dyDescent="0.25">
      <c r="D152" s="6">
        <v>307451</v>
      </c>
      <c r="E152" s="1">
        <v>44805</v>
      </c>
      <c r="F152" s="11">
        <v>1</v>
      </c>
      <c r="H152" s="6">
        <v>307451</v>
      </c>
      <c r="I152" s="1">
        <v>44805</v>
      </c>
      <c r="J152" s="11">
        <v>1</v>
      </c>
    </row>
    <row r="153" spans="4:10" x14ac:dyDescent="0.25">
      <c r="D153" s="6">
        <v>307453</v>
      </c>
      <c r="E153" s="1">
        <v>44575</v>
      </c>
      <c r="F153" s="11">
        <v>1</v>
      </c>
      <c r="H153" s="6">
        <v>307453</v>
      </c>
      <c r="I153" s="1">
        <v>44575</v>
      </c>
      <c r="J153" s="11">
        <v>1</v>
      </c>
    </row>
    <row r="154" spans="4:10" x14ac:dyDescent="0.25">
      <c r="D154" s="6">
        <v>307458</v>
      </c>
      <c r="E154" s="1">
        <v>44841</v>
      </c>
      <c r="F154" s="11">
        <v>1</v>
      </c>
      <c r="H154" s="6">
        <v>307458</v>
      </c>
      <c r="I154" s="1">
        <v>44841</v>
      </c>
      <c r="J154" s="11">
        <v>1</v>
      </c>
    </row>
    <row r="155" spans="4:10" x14ac:dyDescent="0.25">
      <c r="D155" s="6">
        <v>307459</v>
      </c>
      <c r="E155" s="1">
        <v>44694</v>
      </c>
      <c r="F155" s="11">
        <v>3</v>
      </c>
      <c r="H155" s="6">
        <v>307459</v>
      </c>
      <c r="I155" s="1">
        <v>44694</v>
      </c>
      <c r="J155" s="11">
        <v>3</v>
      </c>
    </row>
    <row r="156" spans="4:10" x14ac:dyDescent="0.25">
      <c r="D156" s="6">
        <v>307463</v>
      </c>
      <c r="E156" s="1">
        <v>44648</v>
      </c>
      <c r="F156" s="11">
        <v>4</v>
      </c>
      <c r="H156" s="6">
        <v>307463</v>
      </c>
      <c r="I156" s="1">
        <v>44648</v>
      </c>
      <c r="J156" s="11">
        <v>4</v>
      </c>
    </row>
    <row r="157" spans="4:10" x14ac:dyDescent="0.25">
      <c r="D157" s="6">
        <v>307467</v>
      </c>
      <c r="E157" s="1">
        <v>44595</v>
      </c>
      <c r="F157" s="11">
        <v>3</v>
      </c>
      <c r="H157" s="6">
        <v>307467</v>
      </c>
      <c r="I157" s="1">
        <v>44595</v>
      </c>
      <c r="J157" s="11">
        <v>3</v>
      </c>
    </row>
    <row r="158" spans="4:10" x14ac:dyDescent="0.25">
      <c r="D158" s="6">
        <v>307472</v>
      </c>
      <c r="E158" s="1">
        <v>44759</v>
      </c>
      <c r="F158" s="11">
        <v>3</v>
      </c>
      <c r="H158" s="6">
        <v>307472</v>
      </c>
      <c r="I158" s="1">
        <v>44759</v>
      </c>
      <c r="J158" s="11">
        <v>3</v>
      </c>
    </row>
    <row r="159" spans="4:10" x14ac:dyDescent="0.25">
      <c r="D159" s="6">
        <v>307476</v>
      </c>
      <c r="E159" s="1">
        <v>44739</v>
      </c>
      <c r="F159" s="11">
        <v>5</v>
      </c>
      <c r="H159" s="6">
        <v>307476</v>
      </c>
      <c r="I159" s="1">
        <v>44739</v>
      </c>
      <c r="J159" s="11">
        <v>5</v>
      </c>
    </row>
    <row r="160" spans="4:10" x14ac:dyDescent="0.25">
      <c r="D160" s="6">
        <v>307479</v>
      </c>
      <c r="E160" s="1">
        <v>44744</v>
      </c>
      <c r="F160" s="11">
        <v>4</v>
      </c>
      <c r="H160" s="6">
        <v>307479</v>
      </c>
      <c r="I160" s="1">
        <v>44744</v>
      </c>
      <c r="J160" s="11">
        <v>4</v>
      </c>
    </row>
    <row r="161" spans="4:10" x14ac:dyDescent="0.25">
      <c r="D161" s="6">
        <v>307482</v>
      </c>
      <c r="E161" s="1">
        <v>44851</v>
      </c>
      <c r="F161" s="11">
        <v>4</v>
      </c>
      <c r="H161" s="6">
        <v>307482</v>
      </c>
      <c r="I161" s="1">
        <v>44851</v>
      </c>
      <c r="J161" s="11">
        <v>4</v>
      </c>
    </row>
    <row r="162" spans="4:10" x14ac:dyDescent="0.25">
      <c r="D162" s="6">
        <v>307483</v>
      </c>
      <c r="E162" s="1">
        <v>44751</v>
      </c>
      <c r="F162" s="11">
        <v>3</v>
      </c>
      <c r="H162" s="6">
        <v>307483</v>
      </c>
      <c r="I162" s="1">
        <v>44751</v>
      </c>
      <c r="J162" s="11">
        <v>3</v>
      </c>
    </row>
    <row r="163" spans="4:10" x14ac:dyDescent="0.25">
      <c r="D163" s="6">
        <v>307486</v>
      </c>
      <c r="E163" s="1">
        <v>44843</v>
      </c>
      <c r="F163" s="11">
        <v>5</v>
      </c>
      <c r="H163" s="6">
        <v>307486</v>
      </c>
      <c r="I163" s="1">
        <v>44843</v>
      </c>
      <c r="J163" s="11">
        <v>5</v>
      </c>
    </row>
    <row r="164" spans="4:10" x14ac:dyDescent="0.25">
      <c r="D164" s="6">
        <v>307491</v>
      </c>
      <c r="E164" s="1">
        <v>44721</v>
      </c>
      <c r="F164" s="11">
        <v>5</v>
      </c>
      <c r="H164" s="6">
        <v>307491</v>
      </c>
      <c r="I164" s="1">
        <v>44721</v>
      </c>
      <c r="J164" s="11">
        <v>5</v>
      </c>
    </row>
    <row r="165" spans="4:10" x14ac:dyDescent="0.25">
      <c r="D165" s="6">
        <v>307495</v>
      </c>
      <c r="E165" s="1">
        <v>44659</v>
      </c>
      <c r="F165" s="11">
        <v>1</v>
      </c>
      <c r="H165" s="6">
        <v>307495</v>
      </c>
      <c r="I165" s="1">
        <v>44659</v>
      </c>
      <c r="J165" s="11">
        <v>1</v>
      </c>
    </row>
    <row r="166" spans="4:10" x14ac:dyDescent="0.25">
      <c r="D166" s="6">
        <v>307498</v>
      </c>
      <c r="E166" s="1">
        <v>44587</v>
      </c>
      <c r="F166" s="11">
        <v>2</v>
      </c>
      <c r="H166" s="6">
        <v>307498</v>
      </c>
      <c r="I166" s="1">
        <v>44587</v>
      </c>
      <c r="J166" s="11">
        <v>2</v>
      </c>
    </row>
    <row r="167" spans="4:10" x14ac:dyDescent="0.25">
      <c r="D167" s="6">
        <v>307500</v>
      </c>
      <c r="E167" s="1">
        <v>44679</v>
      </c>
      <c r="F167" s="11">
        <v>1</v>
      </c>
      <c r="H167" s="6">
        <v>307500</v>
      </c>
      <c r="I167" s="1">
        <v>44679</v>
      </c>
      <c r="J167" s="11">
        <v>1</v>
      </c>
    </row>
    <row r="168" spans="4:10" x14ac:dyDescent="0.25">
      <c r="D168" s="6">
        <v>307505</v>
      </c>
      <c r="E168" s="1">
        <v>44585</v>
      </c>
      <c r="F168" s="11">
        <v>3</v>
      </c>
      <c r="H168" s="6">
        <v>307505</v>
      </c>
      <c r="I168" s="1">
        <v>44585</v>
      </c>
      <c r="J168" s="11">
        <v>3</v>
      </c>
    </row>
    <row r="169" spans="4:10" x14ac:dyDescent="0.25">
      <c r="D169" s="6">
        <v>307509</v>
      </c>
      <c r="E169" s="1">
        <v>44663</v>
      </c>
      <c r="F169" s="11">
        <v>1</v>
      </c>
      <c r="H169" s="6">
        <v>307509</v>
      </c>
      <c r="I169" s="1">
        <v>44663</v>
      </c>
      <c r="J169" s="11">
        <v>1</v>
      </c>
    </row>
    <row r="170" spans="4:10" x14ac:dyDescent="0.25">
      <c r="D170" s="6">
        <v>307513</v>
      </c>
      <c r="E170" s="1">
        <v>44834</v>
      </c>
      <c r="F170" s="11">
        <v>5</v>
      </c>
      <c r="H170" s="6">
        <v>307513</v>
      </c>
      <c r="I170" s="1">
        <v>44834</v>
      </c>
      <c r="J170" s="11">
        <v>5</v>
      </c>
    </row>
    <row r="171" spans="4:10" x14ac:dyDescent="0.25">
      <c r="D171" s="6">
        <v>307517</v>
      </c>
      <c r="E171" s="1">
        <v>44787</v>
      </c>
      <c r="F171" s="11">
        <v>4</v>
      </c>
      <c r="H171" s="6">
        <v>307517</v>
      </c>
      <c r="I171" s="1">
        <v>44787</v>
      </c>
      <c r="J171" s="11">
        <v>4</v>
      </c>
    </row>
    <row r="172" spans="4:10" x14ac:dyDescent="0.25">
      <c r="D172" s="6">
        <v>307518</v>
      </c>
      <c r="E172" s="1">
        <v>44776</v>
      </c>
      <c r="F172" s="11">
        <v>1</v>
      </c>
      <c r="H172" s="6">
        <v>307518</v>
      </c>
      <c r="I172" s="1">
        <v>44776</v>
      </c>
      <c r="J172" s="11">
        <v>1</v>
      </c>
    </row>
    <row r="173" spans="4:10" x14ac:dyDescent="0.25">
      <c r="D173" s="6">
        <v>307523</v>
      </c>
      <c r="E173" s="1">
        <v>44769</v>
      </c>
      <c r="F173" s="11">
        <v>3</v>
      </c>
      <c r="H173" s="6">
        <v>307523</v>
      </c>
      <c r="I173" s="1">
        <v>44769</v>
      </c>
      <c r="J173" s="11">
        <v>3</v>
      </c>
    </row>
    <row r="174" spans="4:10" x14ac:dyDescent="0.25">
      <c r="D174" s="6">
        <v>307525</v>
      </c>
      <c r="E174" s="1">
        <v>44839</v>
      </c>
      <c r="F174" s="11">
        <v>4</v>
      </c>
      <c r="H174" s="6">
        <v>307525</v>
      </c>
      <c r="I174" s="1">
        <v>44839</v>
      </c>
      <c r="J174" s="11">
        <v>4</v>
      </c>
    </row>
    <row r="175" spans="4:10" x14ac:dyDescent="0.25">
      <c r="D175" s="6">
        <v>307526</v>
      </c>
      <c r="E175" s="1">
        <v>44785</v>
      </c>
      <c r="F175" s="11">
        <v>3</v>
      </c>
      <c r="H175" s="6">
        <v>307526</v>
      </c>
      <c r="I175" s="1">
        <v>44785</v>
      </c>
      <c r="J175" s="11">
        <v>3</v>
      </c>
    </row>
    <row r="176" spans="4:10" x14ac:dyDescent="0.25">
      <c r="D176" s="6">
        <v>307527</v>
      </c>
      <c r="E176" s="1">
        <v>44673</v>
      </c>
      <c r="F176" s="11">
        <v>2</v>
      </c>
      <c r="H176" s="6">
        <v>307527</v>
      </c>
      <c r="I176" s="1">
        <v>44673</v>
      </c>
      <c r="J176" s="11">
        <v>2</v>
      </c>
    </row>
    <row r="177" spans="4:10" x14ac:dyDescent="0.25">
      <c r="D177" s="6">
        <v>307529</v>
      </c>
      <c r="E177" s="1">
        <v>44828</v>
      </c>
      <c r="F177" s="11">
        <v>3</v>
      </c>
      <c r="H177" s="6">
        <v>307529</v>
      </c>
      <c r="I177" s="1">
        <v>44828</v>
      </c>
      <c r="J177" s="11">
        <v>3</v>
      </c>
    </row>
    <row r="178" spans="4:10" x14ac:dyDescent="0.25">
      <c r="D178" s="6">
        <v>307531</v>
      </c>
      <c r="E178" s="1">
        <v>44789</v>
      </c>
      <c r="F178" s="11">
        <v>6</v>
      </c>
      <c r="H178" s="6">
        <v>307531</v>
      </c>
      <c r="I178" s="1">
        <v>44789</v>
      </c>
      <c r="J178" s="11">
        <v>6</v>
      </c>
    </row>
    <row r="179" spans="4:10" x14ac:dyDescent="0.25">
      <c r="D179" s="6">
        <v>307532</v>
      </c>
      <c r="E179" s="1">
        <v>44637</v>
      </c>
      <c r="F179" s="11">
        <v>5</v>
      </c>
      <c r="H179" s="6">
        <v>307532</v>
      </c>
      <c r="I179" s="1">
        <v>44637</v>
      </c>
      <c r="J179" s="11">
        <v>5</v>
      </c>
    </row>
    <row r="180" spans="4:10" x14ac:dyDescent="0.25">
      <c r="D180" s="6">
        <v>307534</v>
      </c>
      <c r="E180" s="1">
        <v>44821</v>
      </c>
      <c r="F180" s="11">
        <v>2</v>
      </c>
      <c r="H180" s="6">
        <v>307534</v>
      </c>
      <c r="I180" s="1">
        <v>44821</v>
      </c>
      <c r="J180" s="11">
        <v>2</v>
      </c>
    </row>
    <row r="181" spans="4:10" x14ac:dyDescent="0.25">
      <c r="D181" s="6">
        <v>307537</v>
      </c>
      <c r="E181" s="1">
        <v>44667</v>
      </c>
      <c r="F181" s="11">
        <v>3</v>
      </c>
      <c r="H181" s="6">
        <v>307537</v>
      </c>
      <c r="I181" s="1">
        <v>44667</v>
      </c>
      <c r="J181" s="11">
        <v>3</v>
      </c>
    </row>
    <row r="182" spans="4:10" x14ac:dyDescent="0.25">
      <c r="D182" s="6">
        <v>307540</v>
      </c>
      <c r="E182" s="1">
        <v>44806</v>
      </c>
      <c r="F182" s="11">
        <v>3</v>
      </c>
      <c r="H182" s="6">
        <v>307540</v>
      </c>
      <c r="I182" s="1">
        <v>44806</v>
      </c>
      <c r="J182" s="11">
        <v>3</v>
      </c>
    </row>
    <row r="183" spans="4:10" x14ac:dyDescent="0.25">
      <c r="D183" s="6">
        <v>307545</v>
      </c>
      <c r="E183" s="1">
        <v>44795</v>
      </c>
      <c r="F183" s="11">
        <v>7</v>
      </c>
      <c r="H183" s="6">
        <v>307545</v>
      </c>
      <c r="I183" s="1">
        <v>44795</v>
      </c>
      <c r="J183" s="11">
        <v>7</v>
      </c>
    </row>
    <row r="184" spans="4:10" x14ac:dyDescent="0.25">
      <c r="D184" s="6">
        <v>307550</v>
      </c>
      <c r="E184" s="1">
        <v>44586</v>
      </c>
      <c r="F184" s="11">
        <v>2</v>
      </c>
      <c r="H184" s="6">
        <v>307550</v>
      </c>
      <c r="I184" s="1">
        <v>44586</v>
      </c>
      <c r="J184" s="11">
        <v>2</v>
      </c>
    </row>
    <row r="185" spans="4:10" x14ac:dyDescent="0.25">
      <c r="D185" s="6">
        <v>307555</v>
      </c>
      <c r="E185" s="1">
        <v>44591</v>
      </c>
      <c r="F185" s="11">
        <v>2</v>
      </c>
      <c r="H185" s="6">
        <v>307555</v>
      </c>
      <c r="I185" s="1">
        <v>44591</v>
      </c>
      <c r="J185" s="11">
        <v>2</v>
      </c>
    </row>
    <row r="186" spans="4:10" x14ac:dyDescent="0.25">
      <c r="D186" s="6">
        <v>307556</v>
      </c>
      <c r="E186" s="1">
        <v>44699</v>
      </c>
      <c r="F186" s="11">
        <v>1</v>
      </c>
      <c r="H186" s="6">
        <v>307556</v>
      </c>
      <c r="I186" s="1">
        <v>44699</v>
      </c>
      <c r="J186" s="11">
        <v>1</v>
      </c>
    </row>
    <row r="187" spans="4:10" x14ac:dyDescent="0.25">
      <c r="D187" s="6">
        <v>307561</v>
      </c>
      <c r="E187" s="1">
        <v>44617</v>
      </c>
      <c r="F187" s="11">
        <v>4</v>
      </c>
      <c r="H187" s="6">
        <v>307561</v>
      </c>
      <c r="I187" s="1">
        <v>44617</v>
      </c>
      <c r="J187" s="11">
        <v>4</v>
      </c>
    </row>
    <row r="188" spans="4:10" x14ac:dyDescent="0.25">
      <c r="D188" s="6">
        <v>307562</v>
      </c>
      <c r="E188" s="1">
        <v>44786</v>
      </c>
      <c r="F188" s="11">
        <v>6</v>
      </c>
      <c r="H188" s="6">
        <v>307562</v>
      </c>
      <c r="I188" s="1">
        <v>44786</v>
      </c>
      <c r="J188" s="11">
        <v>6</v>
      </c>
    </row>
    <row r="189" spans="4:10" x14ac:dyDescent="0.25">
      <c r="D189" s="6">
        <v>307563</v>
      </c>
      <c r="E189" s="1">
        <v>44578</v>
      </c>
      <c r="F189" s="11">
        <v>3</v>
      </c>
      <c r="H189" s="6">
        <v>307563</v>
      </c>
      <c r="I189" s="1">
        <v>44578</v>
      </c>
      <c r="J189" s="11">
        <v>3</v>
      </c>
    </row>
    <row r="190" spans="4:10" x14ac:dyDescent="0.25">
      <c r="D190" s="6">
        <v>307568</v>
      </c>
      <c r="E190" s="1">
        <v>44802</v>
      </c>
      <c r="F190" s="11">
        <v>2</v>
      </c>
      <c r="H190" s="6">
        <v>307568</v>
      </c>
      <c r="I190" s="1">
        <v>44802</v>
      </c>
      <c r="J190" s="11">
        <v>2</v>
      </c>
    </row>
    <row r="191" spans="4:10" x14ac:dyDescent="0.25">
      <c r="D191" s="6">
        <v>307573</v>
      </c>
      <c r="E191" s="1">
        <v>44588</v>
      </c>
      <c r="F191" s="11">
        <v>1</v>
      </c>
      <c r="H191" s="6">
        <v>307573</v>
      </c>
      <c r="I191" s="1">
        <v>44588</v>
      </c>
      <c r="J191" s="11">
        <v>1</v>
      </c>
    </row>
    <row r="192" spans="4:10" x14ac:dyDescent="0.25">
      <c r="D192" s="6">
        <v>307575</v>
      </c>
      <c r="E192" s="1">
        <v>44620</v>
      </c>
      <c r="F192" s="11">
        <v>1</v>
      </c>
      <c r="H192" s="6">
        <v>307575</v>
      </c>
      <c r="I192" s="1">
        <v>44620</v>
      </c>
      <c r="J192" s="11">
        <v>1</v>
      </c>
    </row>
    <row r="193" spans="4:10" x14ac:dyDescent="0.25">
      <c r="D193" s="6">
        <v>307578</v>
      </c>
      <c r="E193" s="1">
        <v>44777</v>
      </c>
      <c r="F193" s="11">
        <v>2</v>
      </c>
      <c r="H193" s="6">
        <v>307578</v>
      </c>
      <c r="I193" s="1">
        <v>44777</v>
      </c>
      <c r="J193" s="11">
        <v>2</v>
      </c>
    </row>
    <row r="194" spans="4:10" x14ac:dyDescent="0.25">
      <c r="D194" s="6">
        <v>307581</v>
      </c>
      <c r="E194" s="1">
        <v>44623</v>
      </c>
      <c r="F194" s="11">
        <v>5</v>
      </c>
      <c r="H194" s="6">
        <v>307581</v>
      </c>
      <c r="I194" s="1">
        <v>44623</v>
      </c>
      <c r="J194" s="11">
        <v>5</v>
      </c>
    </row>
    <row r="195" spans="4:10" x14ac:dyDescent="0.25">
      <c r="D195" s="6">
        <v>307582</v>
      </c>
      <c r="E195" s="1">
        <v>44712</v>
      </c>
      <c r="F195" s="11">
        <v>3</v>
      </c>
      <c r="H195" s="6">
        <v>307582</v>
      </c>
      <c r="I195" s="1">
        <v>44712</v>
      </c>
      <c r="J195" s="11">
        <v>3</v>
      </c>
    </row>
    <row r="196" spans="4:10" x14ac:dyDescent="0.25">
      <c r="D196" s="6">
        <v>307587</v>
      </c>
      <c r="E196" s="1">
        <v>44577</v>
      </c>
      <c r="F196" s="11">
        <v>6</v>
      </c>
      <c r="H196" s="6">
        <v>307587</v>
      </c>
      <c r="I196" s="1">
        <v>44577</v>
      </c>
      <c r="J196" s="11">
        <v>6</v>
      </c>
    </row>
    <row r="197" spans="4:10" x14ac:dyDescent="0.25">
      <c r="D197" s="6">
        <v>307592</v>
      </c>
      <c r="E197" s="1">
        <v>44847</v>
      </c>
      <c r="F197" s="11">
        <v>1</v>
      </c>
      <c r="H197" s="6">
        <v>307592</v>
      </c>
      <c r="I197" s="1">
        <v>44847</v>
      </c>
      <c r="J197" s="11">
        <v>1</v>
      </c>
    </row>
    <row r="198" spans="4:10" x14ac:dyDescent="0.25">
      <c r="D198" s="6">
        <v>307595</v>
      </c>
      <c r="E198" s="1">
        <v>44864</v>
      </c>
      <c r="F198" s="11">
        <v>1</v>
      </c>
      <c r="H198" s="6">
        <v>307595</v>
      </c>
      <c r="I198" s="1">
        <v>44864</v>
      </c>
      <c r="J198" s="11">
        <v>1</v>
      </c>
    </row>
    <row r="199" spans="4:10" x14ac:dyDescent="0.25">
      <c r="D199" s="6">
        <v>307596</v>
      </c>
      <c r="E199" s="1">
        <v>44729</v>
      </c>
      <c r="F199" s="11">
        <v>4</v>
      </c>
      <c r="H199" s="6">
        <v>307596</v>
      </c>
      <c r="I199" s="1">
        <v>44729</v>
      </c>
      <c r="J199" s="11">
        <v>4</v>
      </c>
    </row>
    <row r="200" spans="4:10" x14ac:dyDescent="0.25">
      <c r="D200" s="6">
        <v>307600</v>
      </c>
      <c r="E200" s="1">
        <v>44861</v>
      </c>
      <c r="F200" s="11">
        <v>2</v>
      </c>
      <c r="H200" s="6">
        <v>307600</v>
      </c>
      <c r="I200" s="1">
        <v>44861</v>
      </c>
      <c r="J200" s="11">
        <v>2</v>
      </c>
    </row>
    <row r="201" spans="4:10" x14ac:dyDescent="0.25">
      <c r="D201" s="6">
        <v>307601</v>
      </c>
      <c r="E201" s="1">
        <v>44762</v>
      </c>
      <c r="F201" s="11">
        <v>3</v>
      </c>
      <c r="H201" s="6">
        <v>307601</v>
      </c>
      <c r="I201" s="1">
        <v>44762</v>
      </c>
      <c r="J201" s="11">
        <v>3</v>
      </c>
    </row>
    <row r="202" spans="4:10" x14ac:dyDescent="0.25">
      <c r="D202" s="6">
        <v>307606</v>
      </c>
      <c r="E202" s="1">
        <v>44762</v>
      </c>
      <c r="F202" s="11">
        <v>1</v>
      </c>
      <c r="H202" s="6">
        <v>307606</v>
      </c>
      <c r="I202" s="1">
        <v>44762</v>
      </c>
      <c r="J202" s="11">
        <v>1</v>
      </c>
    </row>
    <row r="203" spans="4:10" x14ac:dyDescent="0.25">
      <c r="D203" s="6">
        <v>307611</v>
      </c>
      <c r="E203" s="1">
        <v>44812</v>
      </c>
      <c r="F203" s="11">
        <v>3</v>
      </c>
      <c r="H203" s="6">
        <v>307611</v>
      </c>
      <c r="I203" s="1">
        <v>44812</v>
      </c>
      <c r="J203" s="11">
        <v>3</v>
      </c>
    </row>
    <row r="204" spans="4:10" x14ac:dyDescent="0.25">
      <c r="D204" s="6">
        <v>307613</v>
      </c>
      <c r="E204" s="1">
        <v>44617</v>
      </c>
      <c r="F204" s="11">
        <v>4</v>
      </c>
      <c r="H204" s="6">
        <v>307613</v>
      </c>
      <c r="I204" s="1">
        <v>44617</v>
      </c>
      <c r="J204" s="11">
        <v>4</v>
      </c>
    </row>
    <row r="205" spans="4:10" x14ac:dyDescent="0.25">
      <c r="D205" s="6">
        <v>307614</v>
      </c>
      <c r="E205" s="1">
        <v>44782</v>
      </c>
      <c r="F205" s="11">
        <v>4</v>
      </c>
      <c r="H205" s="6">
        <v>307614</v>
      </c>
      <c r="I205" s="1">
        <v>44782</v>
      </c>
      <c r="J205" s="11">
        <v>4</v>
      </c>
    </row>
    <row r="206" spans="4:10" x14ac:dyDescent="0.25">
      <c r="D206" s="6">
        <v>307619</v>
      </c>
      <c r="E206" s="1">
        <v>44717</v>
      </c>
      <c r="F206" s="11">
        <v>2</v>
      </c>
      <c r="H206" s="6">
        <v>307619</v>
      </c>
      <c r="I206" s="1">
        <v>44717</v>
      </c>
      <c r="J206" s="11">
        <v>2</v>
      </c>
    </row>
    <row r="207" spans="4:10" x14ac:dyDescent="0.25">
      <c r="D207" s="6">
        <v>307621</v>
      </c>
      <c r="E207" s="1">
        <v>44688</v>
      </c>
      <c r="F207" s="11">
        <v>5</v>
      </c>
      <c r="H207" s="6">
        <v>307621</v>
      </c>
      <c r="I207" s="1">
        <v>44688</v>
      </c>
      <c r="J207" s="11">
        <v>5</v>
      </c>
    </row>
    <row r="208" spans="4:10" x14ac:dyDescent="0.25">
      <c r="D208" s="6">
        <v>307626</v>
      </c>
      <c r="E208" s="1">
        <v>44769</v>
      </c>
      <c r="F208" s="11">
        <v>2</v>
      </c>
      <c r="H208" s="6">
        <v>307626</v>
      </c>
      <c r="I208" s="1">
        <v>44769</v>
      </c>
      <c r="J208" s="11">
        <v>2</v>
      </c>
    </row>
    <row r="209" spans="4:10" x14ac:dyDescent="0.25">
      <c r="D209" s="6">
        <v>307628</v>
      </c>
      <c r="E209" s="1">
        <v>44749</v>
      </c>
      <c r="F209" s="11">
        <v>1</v>
      </c>
      <c r="H209" s="6">
        <v>307628</v>
      </c>
      <c r="I209" s="1">
        <v>44749</v>
      </c>
      <c r="J209" s="11">
        <v>1</v>
      </c>
    </row>
    <row r="210" spans="4:10" x14ac:dyDescent="0.25">
      <c r="D210" s="6">
        <v>307633</v>
      </c>
      <c r="E210" s="1">
        <v>44601</v>
      </c>
      <c r="F210" s="11">
        <v>3</v>
      </c>
      <c r="H210" s="6">
        <v>307633</v>
      </c>
      <c r="I210" s="1">
        <v>44601</v>
      </c>
      <c r="J210" s="11">
        <v>3</v>
      </c>
    </row>
    <row r="211" spans="4:10" x14ac:dyDescent="0.25">
      <c r="D211" s="6">
        <v>307634</v>
      </c>
      <c r="E211" s="1">
        <v>44718</v>
      </c>
      <c r="F211" s="11">
        <v>1</v>
      </c>
      <c r="H211" s="6">
        <v>307634</v>
      </c>
      <c r="I211" s="1">
        <v>44718</v>
      </c>
      <c r="J211" s="11">
        <v>1</v>
      </c>
    </row>
    <row r="212" spans="4:10" x14ac:dyDescent="0.25">
      <c r="D212" s="6">
        <v>307635</v>
      </c>
      <c r="E212" s="1">
        <v>44574</v>
      </c>
      <c r="F212" s="11">
        <v>1</v>
      </c>
      <c r="H212" s="6">
        <v>307635</v>
      </c>
      <c r="I212" s="1">
        <v>44574</v>
      </c>
      <c r="J212" s="11">
        <v>1</v>
      </c>
    </row>
    <row r="213" spans="4:10" x14ac:dyDescent="0.25">
      <c r="D213" s="6">
        <v>307640</v>
      </c>
      <c r="E213" s="1">
        <v>44813</v>
      </c>
      <c r="F213" s="11">
        <v>1</v>
      </c>
      <c r="H213" s="6">
        <v>307640</v>
      </c>
      <c r="I213" s="1">
        <v>44813</v>
      </c>
      <c r="J213" s="11">
        <v>1</v>
      </c>
    </row>
    <row r="214" spans="4:10" x14ac:dyDescent="0.25">
      <c r="D214" s="6">
        <v>307645</v>
      </c>
      <c r="E214" s="1">
        <v>44707</v>
      </c>
      <c r="F214" s="11">
        <v>1</v>
      </c>
      <c r="H214" s="6">
        <v>307645</v>
      </c>
      <c r="I214" s="1">
        <v>44707</v>
      </c>
      <c r="J214" s="11">
        <v>1</v>
      </c>
    </row>
    <row r="215" spans="4:10" x14ac:dyDescent="0.25">
      <c r="D215" s="6">
        <v>307650</v>
      </c>
      <c r="E215" s="1">
        <v>44805</v>
      </c>
      <c r="F215" s="11">
        <v>5</v>
      </c>
      <c r="H215" s="6">
        <v>307650</v>
      </c>
      <c r="I215" s="1">
        <v>44805</v>
      </c>
      <c r="J215" s="11">
        <v>5</v>
      </c>
    </row>
    <row r="216" spans="4:10" x14ac:dyDescent="0.25">
      <c r="D216" s="6">
        <v>307651</v>
      </c>
      <c r="E216" s="1">
        <v>44804</v>
      </c>
      <c r="F216" s="11">
        <v>1</v>
      </c>
      <c r="H216" s="6">
        <v>307651</v>
      </c>
      <c r="I216" s="1">
        <v>44804</v>
      </c>
      <c r="J216" s="11">
        <v>1</v>
      </c>
    </row>
    <row r="217" spans="4:10" x14ac:dyDescent="0.25">
      <c r="D217" s="6">
        <v>307653</v>
      </c>
      <c r="E217" s="1">
        <v>44858</v>
      </c>
      <c r="F217" s="11">
        <v>1</v>
      </c>
      <c r="H217" s="6">
        <v>307653</v>
      </c>
      <c r="I217" s="1">
        <v>44858</v>
      </c>
      <c r="J217" s="11">
        <v>1</v>
      </c>
    </row>
    <row r="218" spans="4:10" x14ac:dyDescent="0.25">
      <c r="D218" s="6">
        <v>307657</v>
      </c>
      <c r="E218" s="1">
        <v>44680</v>
      </c>
      <c r="F218" s="11">
        <v>4</v>
      </c>
      <c r="H218" s="6">
        <v>307657</v>
      </c>
      <c r="I218" s="1">
        <v>44680</v>
      </c>
      <c r="J218" s="11">
        <v>4</v>
      </c>
    </row>
    <row r="219" spans="4:10" x14ac:dyDescent="0.25">
      <c r="D219" s="6">
        <v>307661</v>
      </c>
      <c r="E219" s="1">
        <v>44618</v>
      </c>
      <c r="F219" s="11">
        <v>1</v>
      </c>
      <c r="H219" s="6">
        <v>307661</v>
      </c>
      <c r="I219" s="1">
        <v>44618</v>
      </c>
      <c r="J219" s="11">
        <v>1</v>
      </c>
    </row>
    <row r="220" spans="4:10" x14ac:dyDescent="0.25">
      <c r="D220" s="6">
        <v>307662</v>
      </c>
      <c r="E220" s="1">
        <v>44603</v>
      </c>
      <c r="F220" s="11">
        <v>1</v>
      </c>
      <c r="H220" s="6">
        <v>307662</v>
      </c>
      <c r="I220" s="1">
        <v>44603</v>
      </c>
      <c r="J220" s="11">
        <v>1</v>
      </c>
    </row>
    <row r="221" spans="4:10" x14ac:dyDescent="0.25">
      <c r="D221" s="6">
        <v>307664</v>
      </c>
      <c r="E221" s="1">
        <v>44723</v>
      </c>
      <c r="F221" s="11">
        <v>2</v>
      </c>
      <c r="H221" s="6">
        <v>307664</v>
      </c>
      <c r="I221" s="1">
        <v>44723</v>
      </c>
      <c r="J221" s="11">
        <v>2</v>
      </c>
    </row>
    <row r="222" spans="4:10" x14ac:dyDescent="0.25">
      <c r="D222" s="6">
        <v>307669</v>
      </c>
      <c r="E222" s="1">
        <v>44742</v>
      </c>
      <c r="F222" s="11">
        <v>3</v>
      </c>
      <c r="H222" s="6">
        <v>307669</v>
      </c>
      <c r="I222" s="1">
        <v>44742</v>
      </c>
      <c r="J222" s="11">
        <v>3</v>
      </c>
    </row>
    <row r="223" spans="4:10" x14ac:dyDescent="0.25">
      <c r="D223" s="6">
        <v>307674</v>
      </c>
      <c r="E223" s="1">
        <v>44768</v>
      </c>
      <c r="F223" s="11">
        <v>1</v>
      </c>
      <c r="H223" s="6">
        <v>307674</v>
      </c>
      <c r="I223" s="1">
        <v>44768</v>
      </c>
      <c r="J223" s="11">
        <v>1</v>
      </c>
    </row>
    <row r="224" spans="4:10" x14ac:dyDescent="0.25">
      <c r="D224" s="6">
        <v>307679</v>
      </c>
      <c r="E224" s="1">
        <v>44841</v>
      </c>
      <c r="F224" s="11">
        <v>5</v>
      </c>
      <c r="H224" s="6">
        <v>307679</v>
      </c>
      <c r="I224" s="1">
        <v>44841</v>
      </c>
      <c r="J224" s="11">
        <v>5</v>
      </c>
    </row>
    <row r="225" spans="4:10" x14ac:dyDescent="0.25">
      <c r="D225" s="6">
        <v>307683</v>
      </c>
      <c r="E225" s="1">
        <v>44754</v>
      </c>
      <c r="F225" s="11">
        <v>5</v>
      </c>
      <c r="H225" s="6">
        <v>307683</v>
      </c>
      <c r="I225" s="1">
        <v>44754</v>
      </c>
      <c r="J225" s="11">
        <v>5</v>
      </c>
    </row>
    <row r="226" spans="4:10" x14ac:dyDescent="0.25">
      <c r="D226" s="6">
        <v>307688</v>
      </c>
      <c r="E226" s="1">
        <v>44591</v>
      </c>
      <c r="F226" s="11">
        <v>1</v>
      </c>
      <c r="H226" s="6">
        <v>307688</v>
      </c>
      <c r="I226" s="1">
        <v>44591</v>
      </c>
      <c r="J226" s="11">
        <v>1</v>
      </c>
    </row>
    <row r="227" spans="4:10" x14ac:dyDescent="0.25">
      <c r="D227" s="6">
        <v>307691</v>
      </c>
      <c r="E227" s="1">
        <v>44682</v>
      </c>
      <c r="F227" s="11">
        <v>1</v>
      </c>
      <c r="H227" s="6">
        <v>307691</v>
      </c>
      <c r="I227" s="1">
        <v>44682</v>
      </c>
      <c r="J227" s="11">
        <v>1</v>
      </c>
    </row>
    <row r="228" spans="4:10" x14ac:dyDescent="0.25">
      <c r="D228" s="6">
        <v>307692</v>
      </c>
      <c r="E228" s="1">
        <v>44738</v>
      </c>
      <c r="F228" s="11">
        <v>1</v>
      </c>
      <c r="H228" s="6">
        <v>307692</v>
      </c>
      <c r="I228" s="1">
        <v>44738</v>
      </c>
      <c r="J228" s="11">
        <v>1</v>
      </c>
    </row>
    <row r="229" spans="4:10" x14ac:dyDescent="0.25">
      <c r="D229" s="6">
        <v>307696</v>
      </c>
      <c r="E229" s="1">
        <v>44642</v>
      </c>
      <c r="F229" s="11">
        <v>3</v>
      </c>
      <c r="H229" s="6">
        <v>307696</v>
      </c>
      <c r="I229" s="1">
        <v>44642</v>
      </c>
      <c r="J229" s="11">
        <v>3</v>
      </c>
    </row>
    <row r="230" spans="4:10" x14ac:dyDescent="0.25">
      <c r="D230" s="6">
        <v>307699</v>
      </c>
      <c r="E230" s="1">
        <v>44787</v>
      </c>
      <c r="F230" s="11">
        <v>1</v>
      </c>
      <c r="H230" s="6">
        <v>307699</v>
      </c>
      <c r="I230" s="1">
        <v>44787</v>
      </c>
      <c r="J230" s="11">
        <v>1</v>
      </c>
    </row>
    <row r="231" spans="4:10" x14ac:dyDescent="0.25">
      <c r="D231" s="6">
        <v>307703</v>
      </c>
      <c r="E231" s="1">
        <v>44810</v>
      </c>
      <c r="F231" s="11">
        <v>4</v>
      </c>
      <c r="H231" s="6">
        <v>307703</v>
      </c>
      <c r="I231" s="1">
        <v>44810</v>
      </c>
      <c r="J231" s="11">
        <v>4</v>
      </c>
    </row>
    <row r="232" spans="4:10" x14ac:dyDescent="0.25">
      <c r="D232" s="6">
        <v>307708</v>
      </c>
      <c r="E232" s="1">
        <v>44703</v>
      </c>
      <c r="F232" s="11">
        <v>1</v>
      </c>
      <c r="H232" s="6">
        <v>307708</v>
      </c>
      <c r="I232" s="1">
        <v>44703</v>
      </c>
      <c r="J232" s="11">
        <v>1</v>
      </c>
    </row>
    <row r="233" spans="4:10" x14ac:dyDescent="0.25">
      <c r="D233" s="6">
        <v>307712</v>
      </c>
      <c r="E233" s="1">
        <v>44828</v>
      </c>
      <c r="F233" s="11">
        <v>2</v>
      </c>
      <c r="H233" s="6">
        <v>307712</v>
      </c>
      <c r="I233" s="1">
        <v>44828</v>
      </c>
      <c r="J233" s="11">
        <v>2</v>
      </c>
    </row>
    <row r="234" spans="4:10" x14ac:dyDescent="0.25">
      <c r="D234" s="6">
        <v>307714</v>
      </c>
      <c r="E234" s="1">
        <v>44808</v>
      </c>
      <c r="F234" s="11">
        <v>3</v>
      </c>
      <c r="H234" s="6">
        <v>307714</v>
      </c>
      <c r="I234" s="1">
        <v>44808</v>
      </c>
      <c r="J234" s="11">
        <v>3</v>
      </c>
    </row>
    <row r="235" spans="4:10" x14ac:dyDescent="0.25">
      <c r="D235" s="6">
        <v>307719</v>
      </c>
      <c r="E235" s="1">
        <v>44675</v>
      </c>
      <c r="F235" s="11">
        <v>2</v>
      </c>
      <c r="H235" s="6">
        <v>307719</v>
      </c>
      <c r="I235" s="1">
        <v>44675</v>
      </c>
      <c r="J235" s="11">
        <v>2</v>
      </c>
    </row>
    <row r="236" spans="4:10" x14ac:dyDescent="0.25">
      <c r="D236" s="6">
        <v>307721</v>
      </c>
      <c r="E236" s="1">
        <v>44573</v>
      </c>
      <c r="F236" s="11">
        <v>3</v>
      </c>
      <c r="H236" s="6">
        <v>307721</v>
      </c>
      <c r="I236" s="1">
        <v>44573</v>
      </c>
      <c r="J236" s="11">
        <v>3</v>
      </c>
    </row>
    <row r="237" spans="4:10" x14ac:dyDescent="0.25">
      <c r="D237" s="6">
        <v>307723</v>
      </c>
      <c r="E237" s="1">
        <v>44647</v>
      </c>
      <c r="F237" s="11">
        <v>6</v>
      </c>
      <c r="H237" s="6">
        <v>307723</v>
      </c>
      <c r="I237" s="1">
        <v>44647</v>
      </c>
      <c r="J237" s="11">
        <v>6</v>
      </c>
    </row>
    <row r="238" spans="4:10" x14ac:dyDescent="0.25">
      <c r="D238" s="6">
        <v>307724</v>
      </c>
      <c r="E238" s="1">
        <v>44757</v>
      </c>
      <c r="F238" s="11">
        <v>3</v>
      </c>
      <c r="H238" s="6">
        <v>307724</v>
      </c>
      <c r="I238" s="1">
        <v>44757</v>
      </c>
      <c r="J238" s="11">
        <v>3</v>
      </c>
    </row>
    <row r="239" spans="4:10" x14ac:dyDescent="0.25">
      <c r="D239" s="6">
        <v>307728</v>
      </c>
      <c r="E239" s="1">
        <v>44603</v>
      </c>
      <c r="F239" s="11">
        <v>3</v>
      </c>
      <c r="H239" s="6">
        <v>307728</v>
      </c>
      <c r="I239" s="1">
        <v>44603</v>
      </c>
      <c r="J239" s="11">
        <v>3</v>
      </c>
    </row>
    <row r="240" spans="4:10" x14ac:dyDescent="0.25">
      <c r="D240" s="6">
        <v>307732</v>
      </c>
      <c r="E240" s="1">
        <v>44762</v>
      </c>
      <c r="F240" s="11">
        <v>5</v>
      </c>
      <c r="H240" s="6">
        <v>307732</v>
      </c>
      <c r="I240" s="1">
        <v>44762</v>
      </c>
      <c r="J240" s="11">
        <v>5</v>
      </c>
    </row>
    <row r="241" spans="4:10" x14ac:dyDescent="0.25">
      <c r="D241" s="6">
        <v>307737</v>
      </c>
      <c r="E241" s="1">
        <v>44809</v>
      </c>
      <c r="F241" s="11">
        <v>2</v>
      </c>
      <c r="H241" s="6">
        <v>307737</v>
      </c>
      <c r="I241" s="1">
        <v>44809</v>
      </c>
      <c r="J241" s="11">
        <v>2</v>
      </c>
    </row>
    <row r="242" spans="4:10" x14ac:dyDescent="0.25">
      <c r="D242" s="6">
        <v>307740</v>
      </c>
      <c r="E242" s="1">
        <v>44592</v>
      </c>
      <c r="F242" s="11">
        <v>1</v>
      </c>
      <c r="H242" s="6">
        <v>307740</v>
      </c>
      <c r="I242" s="1">
        <v>44592</v>
      </c>
      <c r="J242" s="11">
        <v>1</v>
      </c>
    </row>
    <row r="243" spans="4:10" x14ac:dyDescent="0.25">
      <c r="D243" s="6">
        <v>307742</v>
      </c>
      <c r="E243" s="1">
        <v>44760</v>
      </c>
      <c r="F243" s="11">
        <v>1</v>
      </c>
      <c r="H243" s="6">
        <v>307742</v>
      </c>
      <c r="I243" s="1">
        <v>44760</v>
      </c>
      <c r="J243" s="11">
        <v>1</v>
      </c>
    </row>
    <row r="244" spans="4:10" x14ac:dyDescent="0.25">
      <c r="D244" s="6">
        <v>307743</v>
      </c>
      <c r="E244" s="1">
        <v>44720</v>
      </c>
      <c r="F244" s="11">
        <v>1</v>
      </c>
      <c r="H244" s="6">
        <v>307743</v>
      </c>
      <c r="I244" s="1">
        <v>44720</v>
      </c>
      <c r="J244" s="11">
        <v>1</v>
      </c>
    </row>
    <row r="245" spans="4:10" x14ac:dyDescent="0.25">
      <c r="D245" s="6">
        <v>307745</v>
      </c>
      <c r="E245" s="1">
        <v>44632</v>
      </c>
      <c r="F245" s="11">
        <v>1</v>
      </c>
      <c r="H245" s="6">
        <v>307745</v>
      </c>
      <c r="I245" s="1">
        <v>44632</v>
      </c>
      <c r="J245" s="11">
        <v>1</v>
      </c>
    </row>
    <row r="246" spans="4:10" x14ac:dyDescent="0.25">
      <c r="D246" s="6">
        <v>307748</v>
      </c>
      <c r="E246" s="1">
        <v>44783</v>
      </c>
      <c r="F246" s="11">
        <v>1</v>
      </c>
      <c r="H246" s="6">
        <v>307748</v>
      </c>
      <c r="I246" s="1">
        <v>44783</v>
      </c>
      <c r="J246" s="11">
        <v>1</v>
      </c>
    </row>
    <row r="247" spans="4:10" x14ac:dyDescent="0.25">
      <c r="D247" s="6">
        <v>307749</v>
      </c>
      <c r="E247" s="1">
        <v>44821</v>
      </c>
      <c r="F247" s="11">
        <v>5</v>
      </c>
      <c r="H247" s="6">
        <v>307749</v>
      </c>
      <c r="I247" s="1">
        <v>44821</v>
      </c>
      <c r="J247" s="11">
        <v>5</v>
      </c>
    </row>
    <row r="248" spans="4:10" x14ac:dyDescent="0.25">
      <c r="D248" s="6">
        <v>307751</v>
      </c>
      <c r="E248" s="1">
        <v>44743</v>
      </c>
      <c r="F248" s="11">
        <v>3</v>
      </c>
      <c r="H248" s="6">
        <v>307751</v>
      </c>
      <c r="I248" s="1">
        <v>44743</v>
      </c>
      <c r="J248" s="11">
        <v>3</v>
      </c>
    </row>
    <row r="249" spans="4:10" x14ac:dyDescent="0.25">
      <c r="D249" s="6">
        <v>307754</v>
      </c>
      <c r="E249" s="1">
        <v>44657</v>
      </c>
      <c r="F249" s="11">
        <v>2</v>
      </c>
      <c r="H249" s="6">
        <v>307754</v>
      </c>
      <c r="I249" s="1">
        <v>44657</v>
      </c>
      <c r="J249" s="11">
        <v>2</v>
      </c>
    </row>
    <row r="250" spans="4:10" x14ac:dyDescent="0.25">
      <c r="D250" s="6">
        <v>307759</v>
      </c>
      <c r="E250" s="1">
        <v>44683</v>
      </c>
      <c r="F250" s="11">
        <v>1</v>
      </c>
      <c r="H250" s="6">
        <v>307759</v>
      </c>
      <c r="I250" s="1">
        <v>44683</v>
      </c>
      <c r="J250" s="11">
        <v>1</v>
      </c>
    </row>
    <row r="251" spans="4:10" x14ac:dyDescent="0.25">
      <c r="D251" s="6">
        <v>307763</v>
      </c>
      <c r="E251" s="1">
        <v>44824</v>
      </c>
      <c r="F251" s="11">
        <v>6</v>
      </c>
      <c r="H251" s="6">
        <v>307763</v>
      </c>
      <c r="I251" s="1">
        <v>44824</v>
      </c>
      <c r="J251" s="11">
        <v>6</v>
      </c>
    </row>
    <row r="252" spans="4:10" x14ac:dyDescent="0.25">
      <c r="D252" s="6">
        <v>307764</v>
      </c>
      <c r="E252" s="1">
        <v>44631</v>
      </c>
      <c r="F252" s="11">
        <v>6</v>
      </c>
      <c r="H252" s="6">
        <v>307764</v>
      </c>
      <c r="I252" s="1">
        <v>44631</v>
      </c>
      <c r="J252" s="11">
        <v>6</v>
      </c>
    </row>
    <row r="253" spans="4:10" x14ac:dyDescent="0.25">
      <c r="D253" s="6">
        <v>307768</v>
      </c>
      <c r="E253" s="1">
        <v>44659</v>
      </c>
      <c r="F253" s="11">
        <v>1</v>
      </c>
      <c r="H253" s="6">
        <v>307768</v>
      </c>
      <c r="I253" s="1">
        <v>44659</v>
      </c>
      <c r="J253" s="11">
        <v>1</v>
      </c>
    </row>
    <row r="254" spans="4:10" x14ac:dyDescent="0.25">
      <c r="D254" s="6">
        <v>307769</v>
      </c>
      <c r="E254" s="1">
        <v>44635</v>
      </c>
      <c r="F254" s="11">
        <v>2</v>
      </c>
      <c r="H254" s="6">
        <v>307769</v>
      </c>
      <c r="I254" s="1">
        <v>44635</v>
      </c>
      <c r="J254" s="11">
        <v>2</v>
      </c>
    </row>
    <row r="255" spans="4:10" x14ac:dyDescent="0.25">
      <c r="D255" s="6">
        <v>307772</v>
      </c>
      <c r="E255" s="1">
        <v>44596</v>
      </c>
      <c r="F255" s="11">
        <v>5</v>
      </c>
      <c r="H255" s="6">
        <v>307772</v>
      </c>
      <c r="I255" s="1">
        <v>44596</v>
      </c>
      <c r="J255" s="11">
        <v>5</v>
      </c>
    </row>
    <row r="256" spans="4:10" x14ac:dyDescent="0.25">
      <c r="D256" s="6">
        <v>307774</v>
      </c>
      <c r="E256" s="1">
        <v>44635</v>
      </c>
      <c r="F256" s="11">
        <v>5</v>
      </c>
      <c r="H256" s="6">
        <v>307774</v>
      </c>
      <c r="I256" s="1">
        <v>44635</v>
      </c>
      <c r="J256" s="11">
        <v>5</v>
      </c>
    </row>
    <row r="257" spans="4:10" x14ac:dyDescent="0.25">
      <c r="D257" s="6">
        <v>307778</v>
      </c>
      <c r="E257" s="1">
        <v>44768</v>
      </c>
      <c r="F257" s="11">
        <v>1</v>
      </c>
      <c r="H257" s="6">
        <v>307778</v>
      </c>
      <c r="I257" s="1">
        <v>44768</v>
      </c>
      <c r="J257" s="11">
        <v>1</v>
      </c>
    </row>
    <row r="258" spans="4:10" x14ac:dyDescent="0.25">
      <c r="D258" s="6">
        <v>307779</v>
      </c>
      <c r="E258" s="1">
        <v>44832</v>
      </c>
      <c r="F258" s="11">
        <v>1</v>
      </c>
      <c r="H258" s="6">
        <v>307779</v>
      </c>
      <c r="I258" s="1">
        <v>44832</v>
      </c>
      <c r="J258" s="11">
        <v>1</v>
      </c>
    </row>
    <row r="259" spans="4:10" x14ac:dyDescent="0.25">
      <c r="D259" s="6">
        <v>307782</v>
      </c>
      <c r="E259" s="1">
        <v>44612</v>
      </c>
      <c r="F259" s="11">
        <v>3</v>
      </c>
      <c r="H259" s="6">
        <v>307782</v>
      </c>
      <c r="I259" s="1">
        <v>44612</v>
      </c>
      <c r="J259" s="11">
        <v>3</v>
      </c>
    </row>
    <row r="260" spans="4:10" x14ac:dyDescent="0.25">
      <c r="D260" s="6">
        <v>307787</v>
      </c>
      <c r="E260" s="1">
        <v>44791</v>
      </c>
      <c r="F260" s="11">
        <v>1</v>
      </c>
      <c r="H260" s="6">
        <v>307787</v>
      </c>
      <c r="I260" s="1">
        <v>44791</v>
      </c>
      <c r="J260" s="11">
        <v>1</v>
      </c>
    </row>
    <row r="261" spans="4:10" x14ac:dyDescent="0.25">
      <c r="D261" s="6">
        <v>307791</v>
      </c>
      <c r="E261" s="1">
        <v>44687</v>
      </c>
      <c r="F261" s="11">
        <v>1</v>
      </c>
      <c r="H261" s="6">
        <v>307791</v>
      </c>
      <c r="I261" s="1">
        <v>44687</v>
      </c>
      <c r="J261" s="11">
        <v>1</v>
      </c>
    </row>
    <row r="262" spans="4:10" x14ac:dyDescent="0.25">
      <c r="D262" s="6">
        <v>307792</v>
      </c>
      <c r="E262" s="1">
        <v>44627</v>
      </c>
      <c r="F262" s="11">
        <v>3</v>
      </c>
      <c r="H262" s="6">
        <v>307792</v>
      </c>
      <c r="I262" s="1">
        <v>44627</v>
      </c>
      <c r="J262" s="11">
        <v>3</v>
      </c>
    </row>
    <row r="263" spans="4:10" x14ac:dyDescent="0.25">
      <c r="D263" s="6">
        <v>307795</v>
      </c>
      <c r="E263" s="1">
        <v>44764</v>
      </c>
      <c r="F263" s="11">
        <v>1</v>
      </c>
      <c r="H263" s="6">
        <v>307795</v>
      </c>
      <c r="I263" s="1">
        <v>44764</v>
      </c>
      <c r="J263" s="11">
        <v>1</v>
      </c>
    </row>
    <row r="264" spans="4:10" x14ac:dyDescent="0.25">
      <c r="D264" s="6">
        <v>307800</v>
      </c>
      <c r="E264" s="1">
        <v>44799</v>
      </c>
      <c r="F264" s="11">
        <v>1</v>
      </c>
      <c r="H264" s="6">
        <v>307800</v>
      </c>
      <c r="I264" s="1">
        <v>44799</v>
      </c>
      <c r="J264" s="11">
        <v>1</v>
      </c>
    </row>
    <row r="265" spans="4:10" x14ac:dyDescent="0.25">
      <c r="D265" s="6">
        <v>307803</v>
      </c>
      <c r="E265" s="1">
        <v>44782</v>
      </c>
      <c r="F265" s="11">
        <v>3</v>
      </c>
      <c r="H265" s="6">
        <v>307803</v>
      </c>
      <c r="I265" s="1">
        <v>44782</v>
      </c>
      <c r="J265" s="11">
        <v>3</v>
      </c>
    </row>
    <row r="266" spans="4:10" x14ac:dyDescent="0.25">
      <c r="D266" s="6">
        <v>307808</v>
      </c>
      <c r="E266" s="1">
        <v>44667</v>
      </c>
      <c r="F266" s="11">
        <v>2</v>
      </c>
      <c r="H266" s="6">
        <v>307808</v>
      </c>
      <c r="I266" s="1">
        <v>44667</v>
      </c>
      <c r="J266" s="11">
        <v>2</v>
      </c>
    </row>
    <row r="267" spans="4:10" x14ac:dyDescent="0.25">
      <c r="D267" s="6">
        <v>307811</v>
      </c>
      <c r="E267" s="1">
        <v>44594</v>
      </c>
      <c r="F267" s="11">
        <v>1</v>
      </c>
      <c r="H267" s="6">
        <v>307811</v>
      </c>
      <c r="I267" s="1">
        <v>44594</v>
      </c>
      <c r="J267" s="11">
        <v>1</v>
      </c>
    </row>
    <row r="268" spans="4:10" x14ac:dyDescent="0.25">
      <c r="D268" s="6">
        <v>307816</v>
      </c>
      <c r="E268" s="1">
        <v>44707</v>
      </c>
      <c r="F268" s="11">
        <v>1</v>
      </c>
      <c r="H268" s="6">
        <v>307816</v>
      </c>
      <c r="I268" s="1">
        <v>44707</v>
      </c>
      <c r="J268" s="11">
        <v>1</v>
      </c>
    </row>
    <row r="269" spans="4:10" x14ac:dyDescent="0.25">
      <c r="D269" s="6">
        <v>307819</v>
      </c>
      <c r="E269" s="1">
        <v>44799</v>
      </c>
      <c r="F269" s="11">
        <v>2</v>
      </c>
      <c r="H269" s="6">
        <v>307819</v>
      </c>
      <c r="I269" s="1">
        <v>44799</v>
      </c>
      <c r="J269" s="11">
        <v>2</v>
      </c>
    </row>
    <row r="270" spans="4:10" x14ac:dyDescent="0.25">
      <c r="D270" s="6">
        <v>307822</v>
      </c>
      <c r="E270" s="1">
        <v>44773</v>
      </c>
      <c r="F270" s="11">
        <v>1</v>
      </c>
      <c r="H270" s="6">
        <v>307822</v>
      </c>
      <c r="I270" s="1">
        <v>44773</v>
      </c>
      <c r="J270" s="11">
        <v>1</v>
      </c>
    </row>
    <row r="271" spans="4:10" x14ac:dyDescent="0.25">
      <c r="D271" s="6">
        <v>307826</v>
      </c>
      <c r="E271" s="1">
        <v>44795</v>
      </c>
      <c r="F271" s="11">
        <v>2</v>
      </c>
      <c r="H271" s="6">
        <v>307826</v>
      </c>
      <c r="I271" s="1">
        <v>44795</v>
      </c>
      <c r="J271" s="11">
        <v>2</v>
      </c>
    </row>
    <row r="272" spans="4:10" x14ac:dyDescent="0.25">
      <c r="D272" s="6">
        <v>307827</v>
      </c>
      <c r="E272" s="1">
        <v>44574</v>
      </c>
      <c r="F272" s="11">
        <v>1</v>
      </c>
      <c r="H272" s="6">
        <v>307827</v>
      </c>
      <c r="I272" s="1">
        <v>44574</v>
      </c>
      <c r="J272" s="11">
        <v>1</v>
      </c>
    </row>
    <row r="273" spans="4:10" x14ac:dyDescent="0.25">
      <c r="D273" s="6">
        <v>307830</v>
      </c>
      <c r="E273" s="1">
        <v>44745</v>
      </c>
      <c r="F273" s="11">
        <v>1</v>
      </c>
      <c r="H273" s="6">
        <v>307830</v>
      </c>
      <c r="I273" s="1">
        <v>44745</v>
      </c>
      <c r="J273" s="11">
        <v>1</v>
      </c>
    </row>
    <row r="274" spans="4:10" x14ac:dyDescent="0.25">
      <c r="D274" s="6">
        <v>307834</v>
      </c>
      <c r="E274" s="1">
        <v>44564</v>
      </c>
      <c r="F274" s="11">
        <v>3</v>
      </c>
      <c r="H274" s="6">
        <v>307834</v>
      </c>
      <c r="I274" s="1">
        <v>44564</v>
      </c>
      <c r="J274" s="11">
        <v>3</v>
      </c>
    </row>
    <row r="275" spans="4:10" x14ac:dyDescent="0.25">
      <c r="D275" s="6">
        <v>307837</v>
      </c>
      <c r="E275" s="1">
        <v>44859</v>
      </c>
      <c r="F275" s="11">
        <v>3</v>
      </c>
      <c r="H275" s="6">
        <v>307837</v>
      </c>
      <c r="I275" s="1">
        <v>44859</v>
      </c>
      <c r="J275" s="11">
        <v>3</v>
      </c>
    </row>
    <row r="276" spans="4:10" x14ac:dyDescent="0.25">
      <c r="D276" s="6">
        <v>307838</v>
      </c>
      <c r="E276" s="1">
        <v>44639</v>
      </c>
      <c r="F276" s="11">
        <v>3</v>
      </c>
      <c r="H276" s="6">
        <v>307838</v>
      </c>
      <c r="I276" s="1">
        <v>44639</v>
      </c>
      <c r="J276" s="11">
        <v>3</v>
      </c>
    </row>
    <row r="277" spans="4:10" x14ac:dyDescent="0.25">
      <c r="D277" s="6">
        <v>307843</v>
      </c>
      <c r="E277" s="1">
        <v>44575</v>
      </c>
      <c r="F277" s="11">
        <v>6</v>
      </c>
      <c r="H277" s="6">
        <v>307843</v>
      </c>
      <c r="I277" s="1">
        <v>44575</v>
      </c>
      <c r="J277" s="11">
        <v>6</v>
      </c>
    </row>
    <row r="278" spans="4:10" x14ac:dyDescent="0.25">
      <c r="D278" s="6">
        <v>307847</v>
      </c>
      <c r="E278" s="1">
        <v>44663</v>
      </c>
      <c r="F278" s="11">
        <v>1</v>
      </c>
      <c r="H278" s="6">
        <v>307847</v>
      </c>
      <c r="I278" s="1">
        <v>44663</v>
      </c>
      <c r="J278" s="11">
        <v>1</v>
      </c>
    </row>
    <row r="279" spans="4:10" x14ac:dyDescent="0.25">
      <c r="D279" s="6">
        <v>307850</v>
      </c>
      <c r="E279" s="1">
        <v>44703</v>
      </c>
      <c r="F279" s="11">
        <v>2</v>
      </c>
      <c r="H279" s="6">
        <v>307850</v>
      </c>
      <c r="I279" s="1">
        <v>44703</v>
      </c>
      <c r="J279" s="11">
        <v>2</v>
      </c>
    </row>
    <row r="280" spans="4:10" x14ac:dyDescent="0.25">
      <c r="D280" s="6">
        <v>307853</v>
      </c>
      <c r="E280" s="1">
        <v>44614</v>
      </c>
      <c r="F280" s="11">
        <v>2</v>
      </c>
      <c r="H280" s="6">
        <v>307853</v>
      </c>
      <c r="I280" s="1">
        <v>44614</v>
      </c>
      <c r="J280" s="11">
        <v>2</v>
      </c>
    </row>
    <row r="281" spans="4:10" x14ac:dyDescent="0.25">
      <c r="D281" s="6">
        <v>307856</v>
      </c>
      <c r="E281" s="1">
        <v>44611</v>
      </c>
      <c r="F281" s="11">
        <v>1</v>
      </c>
      <c r="H281" s="6">
        <v>307856</v>
      </c>
      <c r="I281" s="1">
        <v>44611</v>
      </c>
      <c r="J281" s="11">
        <v>1</v>
      </c>
    </row>
    <row r="282" spans="4:10" x14ac:dyDescent="0.25">
      <c r="D282" s="6">
        <v>307860</v>
      </c>
      <c r="E282" s="1">
        <v>44681</v>
      </c>
      <c r="F282" s="11">
        <v>2</v>
      </c>
      <c r="H282" s="6">
        <v>307860</v>
      </c>
      <c r="I282" s="1">
        <v>44681</v>
      </c>
      <c r="J282" s="11">
        <v>2</v>
      </c>
    </row>
    <row r="283" spans="4:10" x14ac:dyDescent="0.25">
      <c r="D283" s="6">
        <v>307863</v>
      </c>
      <c r="E283" s="1">
        <v>44647</v>
      </c>
      <c r="F283" s="11">
        <v>2</v>
      </c>
      <c r="H283" s="6">
        <v>307863</v>
      </c>
      <c r="I283" s="1">
        <v>44647</v>
      </c>
      <c r="J283" s="11">
        <v>2</v>
      </c>
    </row>
    <row r="284" spans="4:10" x14ac:dyDescent="0.25">
      <c r="D284" s="6">
        <v>307867</v>
      </c>
      <c r="E284" s="1">
        <v>44838</v>
      </c>
      <c r="F284" s="11">
        <v>1</v>
      </c>
      <c r="H284" s="6">
        <v>307867</v>
      </c>
      <c r="I284" s="1">
        <v>44838</v>
      </c>
      <c r="J284" s="11">
        <v>1</v>
      </c>
    </row>
    <row r="285" spans="4:10" x14ac:dyDescent="0.25">
      <c r="D285" s="6">
        <v>307869</v>
      </c>
      <c r="E285" s="1">
        <v>44740</v>
      </c>
      <c r="F285" s="11">
        <v>2</v>
      </c>
      <c r="H285" s="6">
        <v>307869</v>
      </c>
      <c r="I285" s="1">
        <v>44740</v>
      </c>
      <c r="J285" s="11">
        <v>2</v>
      </c>
    </row>
    <row r="286" spans="4:10" x14ac:dyDescent="0.25">
      <c r="D286" s="6">
        <v>307872</v>
      </c>
      <c r="E286" s="1">
        <v>44820</v>
      </c>
      <c r="F286" s="11">
        <v>1</v>
      </c>
      <c r="H286" s="6">
        <v>307872</v>
      </c>
      <c r="I286" s="1">
        <v>44820</v>
      </c>
      <c r="J286" s="11">
        <v>1</v>
      </c>
    </row>
    <row r="287" spans="4:10" x14ac:dyDescent="0.25">
      <c r="D287" s="6">
        <v>307873</v>
      </c>
      <c r="E287" s="1">
        <v>44693</v>
      </c>
      <c r="F287" s="11">
        <v>3</v>
      </c>
      <c r="H287" s="6">
        <v>307873</v>
      </c>
      <c r="I287" s="1">
        <v>44693</v>
      </c>
      <c r="J287" s="11">
        <v>3</v>
      </c>
    </row>
    <row r="288" spans="4:10" x14ac:dyDescent="0.25">
      <c r="D288" s="6">
        <v>307876</v>
      </c>
      <c r="E288" s="1">
        <v>44648</v>
      </c>
      <c r="F288" s="11">
        <v>3</v>
      </c>
      <c r="H288" s="6">
        <v>307876</v>
      </c>
      <c r="I288" s="1">
        <v>44648</v>
      </c>
      <c r="J288" s="11">
        <v>3</v>
      </c>
    </row>
    <row r="289" spans="4:10" x14ac:dyDescent="0.25">
      <c r="D289" s="6">
        <v>307877</v>
      </c>
      <c r="E289" s="1">
        <v>44623</v>
      </c>
      <c r="F289" s="11">
        <v>1</v>
      </c>
      <c r="H289" s="6">
        <v>307877</v>
      </c>
      <c r="I289" s="1">
        <v>44623</v>
      </c>
      <c r="J289" s="11">
        <v>1</v>
      </c>
    </row>
    <row r="290" spans="4:10" x14ac:dyDescent="0.25">
      <c r="D290" s="6">
        <v>307881</v>
      </c>
      <c r="E290" s="1">
        <v>44800</v>
      </c>
      <c r="F290" s="11">
        <v>3</v>
      </c>
      <c r="H290" s="6">
        <v>307881</v>
      </c>
      <c r="I290" s="1">
        <v>44800</v>
      </c>
      <c r="J290" s="11">
        <v>3</v>
      </c>
    </row>
    <row r="291" spans="4:10" x14ac:dyDescent="0.25">
      <c r="D291" s="6">
        <v>307884</v>
      </c>
      <c r="E291" s="1">
        <v>44850</v>
      </c>
      <c r="F291" s="11">
        <v>1</v>
      </c>
      <c r="H291" s="6">
        <v>307884</v>
      </c>
      <c r="I291" s="1">
        <v>44850</v>
      </c>
      <c r="J291" s="11">
        <v>1</v>
      </c>
    </row>
    <row r="292" spans="4:10" x14ac:dyDescent="0.25">
      <c r="D292" s="6">
        <v>307885</v>
      </c>
      <c r="E292" s="1">
        <v>44620</v>
      </c>
      <c r="F292" s="11">
        <v>2</v>
      </c>
      <c r="H292" s="6">
        <v>307885</v>
      </c>
      <c r="I292" s="1">
        <v>44620</v>
      </c>
      <c r="J292" s="11">
        <v>2</v>
      </c>
    </row>
    <row r="293" spans="4:10" x14ac:dyDescent="0.25">
      <c r="D293" s="6">
        <v>307888</v>
      </c>
      <c r="E293" s="1">
        <v>44589</v>
      </c>
      <c r="F293" s="11">
        <v>2</v>
      </c>
      <c r="H293" s="6">
        <v>307888</v>
      </c>
      <c r="I293" s="1">
        <v>44589</v>
      </c>
      <c r="J293" s="11">
        <v>2</v>
      </c>
    </row>
    <row r="294" spans="4:10" x14ac:dyDescent="0.25">
      <c r="D294" s="6">
        <v>307891</v>
      </c>
      <c r="E294" s="1">
        <v>44579</v>
      </c>
      <c r="F294" s="11">
        <v>4</v>
      </c>
      <c r="H294" s="6">
        <v>307891</v>
      </c>
      <c r="I294" s="1">
        <v>44579</v>
      </c>
      <c r="J294" s="11">
        <v>4</v>
      </c>
    </row>
    <row r="295" spans="4:10" x14ac:dyDescent="0.25">
      <c r="D295" s="6">
        <v>307894</v>
      </c>
      <c r="E295" s="1">
        <v>44699</v>
      </c>
      <c r="F295" s="11">
        <v>1</v>
      </c>
      <c r="H295" s="6">
        <v>307894</v>
      </c>
      <c r="I295" s="1">
        <v>44699</v>
      </c>
      <c r="J295" s="11">
        <v>1</v>
      </c>
    </row>
    <row r="296" spans="4:10" x14ac:dyDescent="0.25">
      <c r="D296" s="6">
        <v>307897</v>
      </c>
      <c r="E296" s="1">
        <v>44593</v>
      </c>
      <c r="F296" s="11">
        <v>6</v>
      </c>
      <c r="H296" s="6">
        <v>307897</v>
      </c>
      <c r="I296" s="1">
        <v>44593</v>
      </c>
      <c r="J296" s="11">
        <v>6</v>
      </c>
    </row>
    <row r="297" spans="4:10" x14ac:dyDescent="0.25">
      <c r="D297" s="6">
        <v>307901</v>
      </c>
      <c r="E297" s="1">
        <v>44632</v>
      </c>
      <c r="F297" s="11">
        <v>5</v>
      </c>
      <c r="H297" s="6">
        <v>307901</v>
      </c>
      <c r="I297" s="1">
        <v>44632</v>
      </c>
      <c r="J297" s="11">
        <v>5</v>
      </c>
    </row>
    <row r="298" spans="4:10" x14ac:dyDescent="0.25">
      <c r="D298" s="6">
        <v>307903</v>
      </c>
      <c r="E298" s="1">
        <v>44856</v>
      </c>
      <c r="F298" s="11">
        <v>2</v>
      </c>
      <c r="H298" s="6">
        <v>307903</v>
      </c>
      <c r="I298" s="1">
        <v>44856</v>
      </c>
      <c r="J298" s="11">
        <v>2</v>
      </c>
    </row>
    <row r="299" spans="4:10" x14ac:dyDescent="0.25">
      <c r="D299" s="6">
        <v>307908</v>
      </c>
      <c r="E299" s="1">
        <v>44744</v>
      </c>
      <c r="F299" s="11">
        <v>1</v>
      </c>
      <c r="H299" s="6">
        <v>307908</v>
      </c>
      <c r="I299" s="1">
        <v>44744</v>
      </c>
      <c r="J299" s="11">
        <v>1</v>
      </c>
    </row>
    <row r="300" spans="4:10" x14ac:dyDescent="0.25">
      <c r="D300" s="6">
        <v>307911</v>
      </c>
      <c r="E300" s="1">
        <v>44575</v>
      </c>
      <c r="F300" s="11">
        <v>3</v>
      </c>
      <c r="H300" s="6">
        <v>307911</v>
      </c>
      <c r="I300" s="1">
        <v>44575</v>
      </c>
      <c r="J300" s="11">
        <v>3</v>
      </c>
    </row>
    <row r="301" spans="4:10" x14ac:dyDescent="0.25">
      <c r="D301" s="6">
        <v>307915</v>
      </c>
      <c r="E301" s="1">
        <v>44803</v>
      </c>
      <c r="F301" s="11">
        <v>5</v>
      </c>
      <c r="H301" s="6">
        <v>307915</v>
      </c>
      <c r="I301" s="1">
        <v>44803</v>
      </c>
      <c r="J301" s="11">
        <v>5</v>
      </c>
    </row>
    <row r="302" spans="4:10" x14ac:dyDescent="0.25">
      <c r="D302" s="6">
        <v>307916</v>
      </c>
      <c r="E302" s="1">
        <v>44730</v>
      </c>
      <c r="F302" s="11">
        <v>6</v>
      </c>
      <c r="H302" s="6">
        <v>307916</v>
      </c>
      <c r="I302" s="1">
        <v>44730</v>
      </c>
      <c r="J302" s="11">
        <v>6</v>
      </c>
    </row>
    <row r="303" spans="4:10" x14ac:dyDescent="0.25">
      <c r="D303" s="6">
        <v>307920</v>
      </c>
      <c r="E303" s="1">
        <v>44664</v>
      </c>
      <c r="F303" s="11">
        <v>4</v>
      </c>
      <c r="H303" s="6">
        <v>307920</v>
      </c>
      <c r="I303" s="1">
        <v>44664</v>
      </c>
      <c r="J303" s="11">
        <v>4</v>
      </c>
    </row>
    <row r="304" spans="4:10" x14ac:dyDescent="0.25">
      <c r="D304" s="6">
        <v>307922</v>
      </c>
      <c r="E304" s="1">
        <v>44642</v>
      </c>
      <c r="F304" s="11">
        <v>1</v>
      </c>
      <c r="H304" s="6">
        <v>307922</v>
      </c>
      <c r="I304" s="1">
        <v>44642</v>
      </c>
      <c r="J304" s="11">
        <v>1</v>
      </c>
    </row>
    <row r="305" spans="4:10" x14ac:dyDescent="0.25">
      <c r="D305" s="6">
        <v>307923</v>
      </c>
      <c r="E305" s="1">
        <v>44722</v>
      </c>
      <c r="F305" s="11">
        <v>2</v>
      </c>
      <c r="H305" s="6">
        <v>307923</v>
      </c>
      <c r="I305" s="1">
        <v>44722</v>
      </c>
      <c r="J305" s="11">
        <v>2</v>
      </c>
    </row>
    <row r="306" spans="4:10" x14ac:dyDescent="0.25">
      <c r="D306" s="6">
        <v>307928</v>
      </c>
      <c r="E306" s="1">
        <v>44607</v>
      </c>
      <c r="F306" s="11">
        <v>6</v>
      </c>
      <c r="H306" s="6">
        <v>307928</v>
      </c>
      <c r="I306" s="1">
        <v>44607</v>
      </c>
      <c r="J306" s="11">
        <v>6</v>
      </c>
    </row>
    <row r="307" spans="4:10" x14ac:dyDescent="0.25">
      <c r="D307" s="6">
        <v>307932</v>
      </c>
      <c r="E307" s="1">
        <v>44724</v>
      </c>
      <c r="F307" s="11">
        <v>7</v>
      </c>
      <c r="H307" s="6">
        <v>307932</v>
      </c>
      <c r="I307" s="1">
        <v>44724</v>
      </c>
      <c r="J307" s="11">
        <v>7</v>
      </c>
    </row>
    <row r="308" spans="4:10" x14ac:dyDescent="0.25">
      <c r="D308" s="6">
        <v>307937</v>
      </c>
      <c r="E308" s="1">
        <v>44611</v>
      </c>
      <c r="F308" s="11">
        <v>1</v>
      </c>
      <c r="H308" s="6">
        <v>307937</v>
      </c>
      <c r="I308" s="1">
        <v>44611</v>
      </c>
      <c r="J308" s="11">
        <v>1</v>
      </c>
    </row>
    <row r="309" spans="4:10" x14ac:dyDescent="0.25">
      <c r="D309" s="6">
        <v>307939</v>
      </c>
      <c r="E309" s="1">
        <v>44704</v>
      </c>
      <c r="F309" s="11">
        <v>2</v>
      </c>
      <c r="H309" s="6">
        <v>307939</v>
      </c>
      <c r="I309" s="1">
        <v>44704</v>
      </c>
      <c r="J309" s="11">
        <v>2</v>
      </c>
    </row>
    <row r="310" spans="4:10" x14ac:dyDescent="0.25">
      <c r="D310" s="6">
        <v>307940</v>
      </c>
      <c r="E310" s="1">
        <v>44723</v>
      </c>
      <c r="F310" s="11">
        <v>1</v>
      </c>
      <c r="H310" s="6">
        <v>307940</v>
      </c>
      <c r="I310" s="1">
        <v>44723</v>
      </c>
      <c r="J310" s="11">
        <v>1</v>
      </c>
    </row>
    <row r="311" spans="4:10" x14ac:dyDescent="0.25">
      <c r="D311" s="6">
        <v>307941</v>
      </c>
      <c r="E311" s="1">
        <v>44861</v>
      </c>
      <c r="F311" s="11">
        <v>3</v>
      </c>
      <c r="H311" s="6">
        <v>307941</v>
      </c>
      <c r="I311" s="1">
        <v>44861</v>
      </c>
      <c r="J311" s="11">
        <v>3</v>
      </c>
    </row>
    <row r="312" spans="4:10" x14ac:dyDescent="0.25">
      <c r="D312" s="6">
        <v>307942</v>
      </c>
      <c r="E312" s="1">
        <v>44703</v>
      </c>
      <c r="F312" s="11">
        <v>1</v>
      </c>
      <c r="H312" s="6">
        <v>307942</v>
      </c>
      <c r="I312" s="1">
        <v>44703</v>
      </c>
      <c r="J312" s="11">
        <v>1</v>
      </c>
    </row>
    <row r="313" spans="4:10" x14ac:dyDescent="0.25">
      <c r="D313" s="6">
        <v>307946</v>
      </c>
      <c r="E313" s="1">
        <v>44825</v>
      </c>
      <c r="F313" s="11">
        <v>3</v>
      </c>
      <c r="H313" s="6">
        <v>307946</v>
      </c>
      <c r="I313" s="1">
        <v>44825</v>
      </c>
      <c r="J313" s="11">
        <v>3</v>
      </c>
    </row>
    <row r="314" spans="4:10" x14ac:dyDescent="0.25">
      <c r="D314" s="6">
        <v>307949</v>
      </c>
      <c r="E314" s="1">
        <v>44758</v>
      </c>
      <c r="F314" s="11">
        <v>3</v>
      </c>
      <c r="H314" s="6">
        <v>307949</v>
      </c>
      <c r="I314" s="1">
        <v>44758</v>
      </c>
      <c r="J314" s="11">
        <v>3</v>
      </c>
    </row>
    <row r="315" spans="4:10" x14ac:dyDescent="0.25">
      <c r="D315" s="6">
        <v>307954</v>
      </c>
      <c r="E315" s="1">
        <v>44827</v>
      </c>
      <c r="F315" s="11">
        <v>3</v>
      </c>
      <c r="H315" s="6">
        <v>307954</v>
      </c>
      <c r="I315" s="1">
        <v>44827</v>
      </c>
      <c r="J315" s="11">
        <v>3</v>
      </c>
    </row>
    <row r="316" spans="4:10" x14ac:dyDescent="0.25">
      <c r="D316" s="6">
        <v>307957</v>
      </c>
      <c r="E316" s="1">
        <v>44823</v>
      </c>
      <c r="F316" s="11">
        <v>5</v>
      </c>
      <c r="H316" s="6">
        <v>307957</v>
      </c>
      <c r="I316" s="1">
        <v>44823</v>
      </c>
      <c r="J316" s="11">
        <v>5</v>
      </c>
    </row>
    <row r="317" spans="4:10" x14ac:dyDescent="0.25">
      <c r="D317" s="6">
        <v>307962</v>
      </c>
      <c r="E317" s="1">
        <v>44622</v>
      </c>
      <c r="F317" s="11">
        <v>1</v>
      </c>
      <c r="H317" s="6">
        <v>307962</v>
      </c>
      <c r="I317" s="1">
        <v>44622</v>
      </c>
      <c r="J317" s="11">
        <v>1</v>
      </c>
    </row>
    <row r="318" spans="4:10" x14ac:dyDescent="0.25">
      <c r="D318" s="6">
        <v>307964</v>
      </c>
      <c r="E318" s="1">
        <v>44704</v>
      </c>
      <c r="F318" s="11">
        <v>2</v>
      </c>
      <c r="H318" s="6">
        <v>307964</v>
      </c>
      <c r="I318" s="1">
        <v>44704</v>
      </c>
      <c r="J318" s="11">
        <v>2</v>
      </c>
    </row>
    <row r="319" spans="4:10" x14ac:dyDescent="0.25">
      <c r="D319" s="6">
        <v>307969</v>
      </c>
      <c r="E319" s="1">
        <v>44688</v>
      </c>
      <c r="F319" s="11">
        <v>1</v>
      </c>
      <c r="H319" s="6">
        <v>307969</v>
      </c>
      <c r="I319" s="1">
        <v>44688</v>
      </c>
      <c r="J319" s="11">
        <v>1</v>
      </c>
    </row>
    <row r="320" spans="4:10" x14ac:dyDescent="0.25">
      <c r="D320" s="6">
        <v>307971</v>
      </c>
      <c r="E320" s="1">
        <v>44755</v>
      </c>
      <c r="F320" s="11">
        <v>1</v>
      </c>
      <c r="H320" s="6">
        <v>307971</v>
      </c>
      <c r="I320" s="1">
        <v>44755</v>
      </c>
      <c r="J320" s="11">
        <v>1</v>
      </c>
    </row>
    <row r="321" spans="4:10" x14ac:dyDescent="0.25">
      <c r="D321" s="6">
        <v>307972</v>
      </c>
      <c r="E321" s="1">
        <v>44582</v>
      </c>
      <c r="F321" s="11">
        <v>1</v>
      </c>
      <c r="H321" s="6">
        <v>307972</v>
      </c>
      <c r="I321" s="1">
        <v>44582</v>
      </c>
      <c r="J321" s="11">
        <v>1</v>
      </c>
    </row>
    <row r="322" spans="4:10" x14ac:dyDescent="0.25">
      <c r="D322" s="6">
        <v>307976</v>
      </c>
      <c r="E322" s="1">
        <v>44631</v>
      </c>
      <c r="F322" s="11">
        <v>3</v>
      </c>
      <c r="H322" s="6">
        <v>307976</v>
      </c>
      <c r="I322" s="1">
        <v>44631</v>
      </c>
      <c r="J322" s="11">
        <v>3</v>
      </c>
    </row>
    <row r="323" spans="4:10" x14ac:dyDescent="0.25">
      <c r="D323" s="6">
        <v>307979</v>
      </c>
      <c r="E323" s="1">
        <v>44646</v>
      </c>
      <c r="F323" s="11">
        <v>5</v>
      </c>
      <c r="H323" s="6">
        <v>307979</v>
      </c>
      <c r="I323" s="1">
        <v>44646</v>
      </c>
      <c r="J323" s="11">
        <v>5</v>
      </c>
    </row>
    <row r="324" spans="4:10" x14ac:dyDescent="0.25">
      <c r="D324" s="6">
        <v>307983</v>
      </c>
      <c r="E324" s="1">
        <v>44722</v>
      </c>
      <c r="F324" s="11">
        <v>3</v>
      </c>
      <c r="H324" s="6">
        <v>307983</v>
      </c>
      <c r="I324" s="1">
        <v>44722</v>
      </c>
      <c r="J324" s="11">
        <v>3</v>
      </c>
    </row>
    <row r="325" spans="4:10" x14ac:dyDescent="0.25">
      <c r="D325" s="6">
        <v>307985</v>
      </c>
      <c r="E325" s="1">
        <v>44748</v>
      </c>
      <c r="F325" s="11">
        <v>2</v>
      </c>
      <c r="H325" s="6">
        <v>307985</v>
      </c>
      <c r="I325" s="1">
        <v>44748</v>
      </c>
      <c r="J325" s="11">
        <v>2</v>
      </c>
    </row>
    <row r="326" spans="4:10" x14ac:dyDescent="0.25">
      <c r="D326" s="6">
        <v>307986</v>
      </c>
      <c r="E326" s="1">
        <v>44841</v>
      </c>
      <c r="F326" s="11">
        <v>2</v>
      </c>
      <c r="H326" s="6">
        <v>307986</v>
      </c>
      <c r="I326" s="1">
        <v>44841</v>
      </c>
      <c r="J326" s="11">
        <v>2</v>
      </c>
    </row>
    <row r="327" spans="4:10" x14ac:dyDescent="0.25">
      <c r="D327" s="6">
        <v>307988</v>
      </c>
      <c r="E327" s="1">
        <v>44738</v>
      </c>
      <c r="F327" s="11">
        <v>3</v>
      </c>
      <c r="H327" s="6">
        <v>307988</v>
      </c>
      <c r="I327" s="1">
        <v>44738</v>
      </c>
      <c r="J327" s="11">
        <v>3</v>
      </c>
    </row>
    <row r="328" spans="4:10" x14ac:dyDescent="0.25">
      <c r="D328" s="6">
        <v>307990</v>
      </c>
      <c r="E328" s="1">
        <v>44858</v>
      </c>
      <c r="F328" s="11">
        <v>1</v>
      </c>
      <c r="H328" s="6">
        <v>307990</v>
      </c>
      <c r="I328" s="1">
        <v>44858</v>
      </c>
      <c r="J328" s="11">
        <v>1</v>
      </c>
    </row>
    <row r="329" spans="4:10" x14ac:dyDescent="0.25">
      <c r="D329" s="6">
        <v>307993</v>
      </c>
      <c r="E329" s="1">
        <v>44629</v>
      </c>
      <c r="F329" s="11">
        <v>1</v>
      </c>
      <c r="H329" s="6">
        <v>307993</v>
      </c>
      <c r="I329" s="1">
        <v>44629</v>
      </c>
      <c r="J329" s="11">
        <v>1</v>
      </c>
    </row>
    <row r="330" spans="4:10" x14ac:dyDescent="0.25">
      <c r="D330" s="6">
        <v>307998</v>
      </c>
      <c r="E330" s="1">
        <v>44603</v>
      </c>
      <c r="F330" s="11">
        <v>2</v>
      </c>
      <c r="H330" s="6">
        <v>307998</v>
      </c>
      <c r="I330" s="1">
        <v>44603</v>
      </c>
      <c r="J330" s="11">
        <v>2</v>
      </c>
    </row>
    <row r="331" spans="4:10" x14ac:dyDescent="0.25">
      <c r="D331" s="6">
        <v>308000</v>
      </c>
      <c r="E331" s="1">
        <v>44794</v>
      </c>
      <c r="F331" s="11">
        <v>6</v>
      </c>
      <c r="H331" s="6">
        <v>308000</v>
      </c>
      <c r="I331" s="1">
        <v>44794</v>
      </c>
      <c r="J331" s="11">
        <v>6</v>
      </c>
    </row>
    <row r="332" spans="4:10" x14ac:dyDescent="0.25">
      <c r="D332" s="6">
        <v>308001</v>
      </c>
      <c r="E332" s="1">
        <v>44739</v>
      </c>
      <c r="F332" s="11">
        <v>2</v>
      </c>
      <c r="H332" s="6">
        <v>308001</v>
      </c>
      <c r="I332" s="1">
        <v>44739</v>
      </c>
      <c r="J332" s="11">
        <v>2</v>
      </c>
    </row>
    <row r="333" spans="4:10" x14ac:dyDescent="0.25">
      <c r="D333" s="6">
        <v>308004</v>
      </c>
      <c r="E333" s="1">
        <v>44592</v>
      </c>
      <c r="F333" s="11">
        <v>3</v>
      </c>
      <c r="H333" s="6">
        <v>308004</v>
      </c>
      <c r="I333" s="1">
        <v>44592</v>
      </c>
      <c r="J333" s="11">
        <v>3</v>
      </c>
    </row>
    <row r="334" spans="4:10" x14ac:dyDescent="0.25">
      <c r="D334" s="6">
        <v>308008</v>
      </c>
      <c r="E334" s="1">
        <v>44633</v>
      </c>
      <c r="F334" s="11">
        <v>2</v>
      </c>
      <c r="H334" s="6">
        <v>308008</v>
      </c>
      <c r="I334" s="1">
        <v>44633</v>
      </c>
      <c r="J334" s="11">
        <v>2</v>
      </c>
    </row>
    <row r="335" spans="4:10" x14ac:dyDescent="0.25">
      <c r="D335" s="6">
        <v>308011</v>
      </c>
      <c r="E335" s="1">
        <v>44579</v>
      </c>
      <c r="F335" s="11">
        <v>5</v>
      </c>
      <c r="H335" s="6">
        <v>308011</v>
      </c>
      <c r="I335" s="1">
        <v>44579</v>
      </c>
      <c r="J335" s="11">
        <v>5</v>
      </c>
    </row>
    <row r="336" spans="4:10" x14ac:dyDescent="0.25">
      <c r="D336" s="6">
        <v>308013</v>
      </c>
      <c r="E336" s="1">
        <v>44851</v>
      </c>
      <c r="F336" s="11">
        <v>4</v>
      </c>
      <c r="H336" s="6">
        <v>308013</v>
      </c>
      <c r="I336" s="1">
        <v>44851</v>
      </c>
      <c r="J336" s="11">
        <v>4</v>
      </c>
    </row>
    <row r="337" spans="4:10" x14ac:dyDescent="0.25">
      <c r="D337" s="6">
        <v>308018</v>
      </c>
      <c r="E337" s="1">
        <v>44633</v>
      </c>
      <c r="F337" s="11">
        <v>5</v>
      </c>
      <c r="H337" s="6">
        <v>308018</v>
      </c>
      <c r="I337" s="1">
        <v>44633</v>
      </c>
      <c r="J337" s="11">
        <v>5</v>
      </c>
    </row>
    <row r="338" spans="4:10" x14ac:dyDescent="0.25">
      <c r="D338" s="6">
        <v>308023</v>
      </c>
      <c r="E338" s="1">
        <v>44798</v>
      </c>
      <c r="F338" s="11">
        <v>1</v>
      </c>
      <c r="H338" s="6">
        <v>308023</v>
      </c>
      <c r="I338" s="1">
        <v>44798</v>
      </c>
      <c r="J338" s="11">
        <v>1</v>
      </c>
    </row>
    <row r="339" spans="4:10" x14ac:dyDescent="0.25">
      <c r="D339" s="6">
        <v>308024</v>
      </c>
      <c r="E339" s="1">
        <v>44671</v>
      </c>
      <c r="F339" s="11">
        <v>1</v>
      </c>
      <c r="H339" s="6">
        <v>308024</v>
      </c>
      <c r="I339" s="1">
        <v>44671</v>
      </c>
      <c r="J339" s="11">
        <v>1</v>
      </c>
    </row>
    <row r="340" spans="4:10" x14ac:dyDescent="0.25">
      <c r="D340" s="6">
        <v>308029</v>
      </c>
      <c r="E340" s="1">
        <v>44592</v>
      </c>
      <c r="F340" s="11">
        <v>3</v>
      </c>
      <c r="H340" s="6">
        <v>308029</v>
      </c>
      <c r="I340" s="1">
        <v>44592</v>
      </c>
      <c r="J340" s="11">
        <v>3</v>
      </c>
    </row>
    <row r="341" spans="4:10" x14ac:dyDescent="0.25">
      <c r="D341" s="6">
        <v>308032</v>
      </c>
      <c r="E341" s="1">
        <v>44696</v>
      </c>
      <c r="F341" s="11">
        <v>2</v>
      </c>
      <c r="H341" s="6">
        <v>308032</v>
      </c>
      <c r="I341" s="1">
        <v>44696</v>
      </c>
      <c r="J341" s="11">
        <v>2</v>
      </c>
    </row>
    <row r="342" spans="4:10" x14ac:dyDescent="0.25">
      <c r="D342" s="6">
        <v>308035</v>
      </c>
      <c r="E342" s="1">
        <v>44605</v>
      </c>
      <c r="F342" s="11">
        <v>1</v>
      </c>
      <c r="H342" s="6">
        <v>308035</v>
      </c>
      <c r="I342" s="1">
        <v>44605</v>
      </c>
      <c r="J342" s="11">
        <v>1</v>
      </c>
    </row>
    <row r="343" spans="4:10" x14ac:dyDescent="0.25">
      <c r="D343" s="6">
        <v>308040</v>
      </c>
      <c r="E343" s="1">
        <v>44613</v>
      </c>
      <c r="F343" s="11">
        <v>3</v>
      </c>
      <c r="H343" s="6">
        <v>308040</v>
      </c>
      <c r="I343" s="1">
        <v>44613</v>
      </c>
      <c r="J343" s="11">
        <v>3</v>
      </c>
    </row>
    <row r="344" spans="4:10" x14ac:dyDescent="0.25">
      <c r="D344" s="6">
        <v>308041</v>
      </c>
      <c r="E344" s="1">
        <v>44716</v>
      </c>
      <c r="F344" s="11">
        <v>2</v>
      </c>
      <c r="H344" s="6">
        <v>308041</v>
      </c>
      <c r="I344" s="1">
        <v>44716</v>
      </c>
      <c r="J344" s="11">
        <v>2</v>
      </c>
    </row>
    <row r="345" spans="4:10" x14ac:dyDescent="0.25">
      <c r="D345" s="6">
        <v>308046</v>
      </c>
      <c r="E345" s="1">
        <v>44839</v>
      </c>
      <c r="F345" s="11">
        <v>4</v>
      </c>
      <c r="H345" s="6">
        <v>308046</v>
      </c>
      <c r="I345" s="1">
        <v>44839</v>
      </c>
      <c r="J345" s="11">
        <v>4</v>
      </c>
    </row>
    <row r="346" spans="4:10" x14ac:dyDescent="0.25">
      <c r="D346" s="6">
        <v>308048</v>
      </c>
      <c r="E346" s="1">
        <v>44769</v>
      </c>
      <c r="F346" s="11">
        <v>2</v>
      </c>
      <c r="H346" s="6">
        <v>308048</v>
      </c>
      <c r="I346" s="1">
        <v>44769</v>
      </c>
      <c r="J346" s="11">
        <v>2</v>
      </c>
    </row>
    <row r="347" spans="4:10" x14ac:dyDescent="0.25">
      <c r="D347" s="6">
        <v>308050</v>
      </c>
      <c r="E347" s="1">
        <v>44777</v>
      </c>
      <c r="F347" s="11">
        <v>1</v>
      </c>
      <c r="H347" s="6">
        <v>308050</v>
      </c>
      <c r="I347" s="1">
        <v>44777</v>
      </c>
      <c r="J347" s="11">
        <v>1</v>
      </c>
    </row>
    <row r="348" spans="4:10" x14ac:dyDescent="0.25">
      <c r="D348" s="6">
        <v>308051</v>
      </c>
      <c r="E348" s="1">
        <v>44572</v>
      </c>
      <c r="F348" s="11">
        <v>5</v>
      </c>
      <c r="H348" s="6">
        <v>308051</v>
      </c>
      <c r="I348" s="1">
        <v>44572</v>
      </c>
      <c r="J348" s="11">
        <v>5</v>
      </c>
    </row>
    <row r="349" spans="4:10" x14ac:dyDescent="0.25">
      <c r="D349" s="6">
        <v>308055</v>
      </c>
      <c r="E349" s="1">
        <v>44757</v>
      </c>
      <c r="F349" s="11">
        <v>3</v>
      </c>
      <c r="H349" s="6">
        <v>308055</v>
      </c>
      <c r="I349" s="1">
        <v>44757</v>
      </c>
      <c r="J349" s="11">
        <v>3</v>
      </c>
    </row>
    <row r="350" spans="4:10" x14ac:dyDescent="0.25">
      <c r="D350" s="6">
        <v>308059</v>
      </c>
      <c r="E350" s="1">
        <v>44733</v>
      </c>
      <c r="F350" s="11">
        <v>3</v>
      </c>
      <c r="H350" s="6">
        <v>308059</v>
      </c>
      <c r="I350" s="1">
        <v>44733</v>
      </c>
      <c r="J350" s="11">
        <v>3</v>
      </c>
    </row>
    <row r="351" spans="4:10" x14ac:dyDescent="0.25">
      <c r="D351" s="6">
        <v>308063</v>
      </c>
      <c r="E351" s="1">
        <v>44614</v>
      </c>
      <c r="F351" s="11">
        <v>4</v>
      </c>
      <c r="H351" s="6">
        <v>308063</v>
      </c>
      <c r="I351" s="1">
        <v>44614</v>
      </c>
      <c r="J351" s="11">
        <v>4</v>
      </c>
    </row>
    <row r="352" spans="4:10" x14ac:dyDescent="0.25">
      <c r="D352" s="6">
        <v>308066</v>
      </c>
      <c r="E352" s="1">
        <v>44615</v>
      </c>
      <c r="F352" s="11">
        <v>2</v>
      </c>
      <c r="H352" s="6">
        <v>308066</v>
      </c>
      <c r="I352" s="1">
        <v>44615</v>
      </c>
      <c r="J352" s="11">
        <v>2</v>
      </c>
    </row>
    <row r="353" spans="4:10" x14ac:dyDescent="0.25">
      <c r="D353" s="6">
        <v>308067</v>
      </c>
      <c r="E353" s="1">
        <v>44700</v>
      </c>
      <c r="F353" s="11">
        <v>1</v>
      </c>
      <c r="H353" s="6">
        <v>308067</v>
      </c>
      <c r="I353" s="1">
        <v>44700</v>
      </c>
      <c r="J353" s="11">
        <v>1</v>
      </c>
    </row>
    <row r="354" spans="4:10" x14ac:dyDescent="0.25">
      <c r="D354" s="6">
        <v>308068</v>
      </c>
      <c r="E354" s="1">
        <v>44675</v>
      </c>
      <c r="F354" s="11">
        <v>1</v>
      </c>
      <c r="H354" s="6">
        <v>308068</v>
      </c>
      <c r="I354" s="1">
        <v>44675</v>
      </c>
      <c r="J354" s="11">
        <v>1</v>
      </c>
    </row>
    <row r="355" spans="4:10" x14ac:dyDescent="0.25">
      <c r="D355" s="6">
        <v>308073</v>
      </c>
      <c r="E355" s="1">
        <v>44741</v>
      </c>
      <c r="F355" s="11">
        <v>6</v>
      </c>
      <c r="H355" s="6">
        <v>308073</v>
      </c>
      <c r="I355" s="1">
        <v>44741</v>
      </c>
      <c r="J355" s="11">
        <v>6</v>
      </c>
    </row>
    <row r="356" spans="4:10" x14ac:dyDescent="0.25">
      <c r="D356" s="6">
        <v>308077</v>
      </c>
      <c r="E356" s="1">
        <v>44658</v>
      </c>
      <c r="F356" s="11">
        <v>5</v>
      </c>
      <c r="H356" s="6">
        <v>308077</v>
      </c>
      <c r="I356" s="1">
        <v>44658</v>
      </c>
      <c r="J356" s="11">
        <v>5</v>
      </c>
    </row>
    <row r="357" spans="4:10" x14ac:dyDescent="0.25">
      <c r="D357" s="6">
        <v>308082</v>
      </c>
      <c r="E357" s="1">
        <v>44817</v>
      </c>
      <c r="F357" s="11">
        <v>1</v>
      </c>
      <c r="H357" s="6">
        <v>308082</v>
      </c>
      <c r="I357" s="1">
        <v>44817</v>
      </c>
      <c r="J357" s="11">
        <v>1</v>
      </c>
    </row>
    <row r="358" spans="4:10" x14ac:dyDescent="0.25">
      <c r="D358" s="6">
        <v>308084</v>
      </c>
      <c r="E358" s="1">
        <v>44641</v>
      </c>
      <c r="F358" s="11">
        <v>1</v>
      </c>
      <c r="H358" s="6">
        <v>308084</v>
      </c>
      <c r="I358" s="1">
        <v>44641</v>
      </c>
      <c r="J358" s="11">
        <v>1</v>
      </c>
    </row>
    <row r="359" spans="4:10" x14ac:dyDescent="0.25">
      <c r="D359" s="6">
        <v>308085</v>
      </c>
      <c r="E359" s="1">
        <v>44627</v>
      </c>
      <c r="F359" s="11">
        <v>4</v>
      </c>
      <c r="H359" s="6">
        <v>308085</v>
      </c>
      <c r="I359" s="1">
        <v>44627</v>
      </c>
      <c r="J359" s="11">
        <v>4</v>
      </c>
    </row>
    <row r="360" spans="4:10" x14ac:dyDescent="0.25">
      <c r="D360" s="6">
        <v>308086</v>
      </c>
      <c r="E360" s="1">
        <v>44656</v>
      </c>
      <c r="F360" s="11">
        <v>3</v>
      </c>
      <c r="H360" s="6">
        <v>308086</v>
      </c>
      <c r="I360" s="1">
        <v>44656</v>
      </c>
      <c r="J360" s="11">
        <v>3</v>
      </c>
    </row>
    <row r="361" spans="4:10" x14ac:dyDescent="0.25">
      <c r="D361" s="6">
        <v>308089</v>
      </c>
      <c r="E361" s="1">
        <v>44633</v>
      </c>
      <c r="F361" s="11">
        <v>3</v>
      </c>
      <c r="H361" s="6">
        <v>308089</v>
      </c>
      <c r="I361" s="1">
        <v>44633</v>
      </c>
      <c r="J361" s="11">
        <v>3</v>
      </c>
    </row>
    <row r="362" spans="4:10" x14ac:dyDescent="0.25">
      <c r="D362" s="6">
        <v>308090</v>
      </c>
      <c r="E362" s="1">
        <v>44758</v>
      </c>
      <c r="F362" s="11">
        <v>5</v>
      </c>
      <c r="H362" s="6">
        <v>308090</v>
      </c>
      <c r="I362" s="1">
        <v>44758</v>
      </c>
      <c r="J362" s="11">
        <v>5</v>
      </c>
    </row>
    <row r="363" spans="4:10" x14ac:dyDescent="0.25">
      <c r="D363" s="6">
        <v>308095</v>
      </c>
      <c r="E363" s="1">
        <v>44634</v>
      </c>
      <c r="F363" s="11">
        <v>3</v>
      </c>
      <c r="H363" s="6">
        <v>308095</v>
      </c>
      <c r="I363" s="1">
        <v>44634</v>
      </c>
      <c r="J363" s="11">
        <v>3</v>
      </c>
    </row>
    <row r="364" spans="4:10" x14ac:dyDescent="0.25">
      <c r="D364" s="6">
        <v>308100</v>
      </c>
      <c r="E364" s="1">
        <v>44650</v>
      </c>
      <c r="F364" s="11">
        <v>2</v>
      </c>
      <c r="H364" s="6">
        <v>308100</v>
      </c>
      <c r="I364" s="1">
        <v>44650</v>
      </c>
      <c r="J364" s="11">
        <v>2</v>
      </c>
    </row>
    <row r="365" spans="4:10" x14ac:dyDescent="0.25">
      <c r="D365" s="6">
        <v>308101</v>
      </c>
      <c r="E365" s="1">
        <v>44610</v>
      </c>
      <c r="F365" s="11">
        <v>5</v>
      </c>
      <c r="H365" s="6">
        <v>308101</v>
      </c>
      <c r="I365" s="1">
        <v>44610</v>
      </c>
      <c r="J365" s="11">
        <v>5</v>
      </c>
    </row>
    <row r="366" spans="4:10" x14ac:dyDescent="0.25">
      <c r="D366" s="6">
        <v>308106</v>
      </c>
      <c r="E366" s="1">
        <v>44800</v>
      </c>
      <c r="F366" s="11">
        <v>2</v>
      </c>
      <c r="H366" s="6">
        <v>308106</v>
      </c>
      <c r="I366" s="1">
        <v>44800</v>
      </c>
      <c r="J366" s="11">
        <v>2</v>
      </c>
    </row>
    <row r="367" spans="4:10" x14ac:dyDescent="0.25">
      <c r="D367" s="6">
        <v>308111</v>
      </c>
      <c r="E367" s="1">
        <v>44614</v>
      </c>
      <c r="F367" s="11">
        <v>1</v>
      </c>
      <c r="H367" s="6">
        <v>308111</v>
      </c>
      <c r="I367" s="1">
        <v>44614</v>
      </c>
      <c r="J367" s="11">
        <v>1</v>
      </c>
    </row>
    <row r="368" spans="4:10" x14ac:dyDescent="0.25">
      <c r="D368" s="6">
        <v>308116</v>
      </c>
      <c r="E368" s="1">
        <v>44678</v>
      </c>
      <c r="F368" s="11">
        <v>3</v>
      </c>
      <c r="H368" s="6">
        <v>308116</v>
      </c>
      <c r="I368" s="1">
        <v>44678</v>
      </c>
      <c r="J368" s="11">
        <v>3</v>
      </c>
    </row>
    <row r="369" spans="4:10" x14ac:dyDescent="0.25">
      <c r="D369" s="6">
        <v>308118</v>
      </c>
      <c r="E369" s="1">
        <v>44830</v>
      </c>
      <c r="F369" s="11">
        <v>5</v>
      </c>
      <c r="H369" s="6">
        <v>308118</v>
      </c>
      <c r="I369" s="1">
        <v>44830</v>
      </c>
      <c r="J369" s="11">
        <v>5</v>
      </c>
    </row>
    <row r="370" spans="4:10" x14ac:dyDescent="0.25">
      <c r="D370" s="6">
        <v>308122</v>
      </c>
      <c r="E370" s="1">
        <v>44791</v>
      </c>
      <c r="F370" s="11">
        <v>1</v>
      </c>
      <c r="H370" s="6">
        <v>308122</v>
      </c>
      <c r="I370" s="1">
        <v>44791</v>
      </c>
      <c r="J370" s="11">
        <v>1</v>
      </c>
    </row>
    <row r="371" spans="4:10" x14ac:dyDescent="0.25">
      <c r="D371" s="6">
        <v>308127</v>
      </c>
      <c r="E371" s="1">
        <v>44664</v>
      </c>
      <c r="F371" s="11">
        <v>2</v>
      </c>
      <c r="H371" s="6">
        <v>308127</v>
      </c>
      <c r="I371" s="1">
        <v>44664</v>
      </c>
      <c r="J371" s="11">
        <v>2</v>
      </c>
    </row>
    <row r="372" spans="4:10" x14ac:dyDescent="0.25">
      <c r="D372" s="6">
        <v>308129</v>
      </c>
      <c r="E372" s="1">
        <v>44862</v>
      </c>
      <c r="F372" s="11">
        <v>3</v>
      </c>
      <c r="H372" s="6">
        <v>308129</v>
      </c>
      <c r="I372" s="1">
        <v>44862</v>
      </c>
      <c r="J372" s="11">
        <v>3</v>
      </c>
    </row>
    <row r="373" spans="4:10" x14ac:dyDescent="0.25">
      <c r="D373" s="6">
        <v>308133</v>
      </c>
      <c r="E373" s="1">
        <v>44780</v>
      </c>
      <c r="F373" s="11">
        <v>3</v>
      </c>
      <c r="H373" s="6">
        <v>308133</v>
      </c>
      <c r="I373" s="1">
        <v>44780</v>
      </c>
      <c r="J373" s="11">
        <v>3</v>
      </c>
    </row>
    <row r="374" spans="4:10" x14ac:dyDescent="0.25">
      <c r="D374" s="6">
        <v>308138</v>
      </c>
      <c r="E374" s="1">
        <v>44784</v>
      </c>
      <c r="F374" s="11">
        <v>2</v>
      </c>
      <c r="H374" s="6">
        <v>308138</v>
      </c>
      <c r="I374" s="1">
        <v>44784</v>
      </c>
      <c r="J374" s="11">
        <v>2</v>
      </c>
    </row>
    <row r="375" spans="4:10" x14ac:dyDescent="0.25">
      <c r="D375" s="6">
        <v>308141</v>
      </c>
      <c r="E375" s="1">
        <v>44770</v>
      </c>
      <c r="F375" s="11">
        <v>1</v>
      </c>
      <c r="H375" s="6">
        <v>308141</v>
      </c>
      <c r="I375" s="1">
        <v>44770</v>
      </c>
      <c r="J375" s="11">
        <v>1</v>
      </c>
    </row>
    <row r="376" spans="4:10" x14ac:dyDescent="0.25">
      <c r="D376" s="6">
        <v>308143</v>
      </c>
      <c r="E376" s="1">
        <v>44620</v>
      </c>
      <c r="F376" s="11">
        <v>2</v>
      </c>
      <c r="H376" s="6">
        <v>308143</v>
      </c>
      <c r="I376" s="1">
        <v>44620</v>
      </c>
      <c r="J376" s="11">
        <v>2</v>
      </c>
    </row>
    <row r="377" spans="4:10" x14ac:dyDescent="0.25">
      <c r="D377" s="6">
        <v>308144</v>
      </c>
      <c r="E377" s="1">
        <v>44565</v>
      </c>
      <c r="F377" s="11">
        <v>2</v>
      </c>
      <c r="H377" s="6">
        <v>308144</v>
      </c>
      <c r="I377" s="1">
        <v>44565</v>
      </c>
      <c r="J377" s="11">
        <v>2</v>
      </c>
    </row>
    <row r="378" spans="4:10" x14ac:dyDescent="0.25">
      <c r="D378" s="6">
        <v>308147</v>
      </c>
      <c r="E378" s="1">
        <v>44821</v>
      </c>
      <c r="F378" s="11">
        <v>1</v>
      </c>
      <c r="H378" s="6">
        <v>308147</v>
      </c>
      <c r="I378" s="1">
        <v>44821</v>
      </c>
      <c r="J378" s="11">
        <v>1</v>
      </c>
    </row>
    <row r="379" spans="4:10" x14ac:dyDescent="0.25">
      <c r="D379" s="6">
        <v>308150</v>
      </c>
      <c r="E379" s="1">
        <v>44588</v>
      </c>
      <c r="F379" s="11">
        <v>2</v>
      </c>
      <c r="H379" s="6">
        <v>308150</v>
      </c>
      <c r="I379" s="1">
        <v>44588</v>
      </c>
      <c r="J379" s="11">
        <v>2</v>
      </c>
    </row>
    <row r="380" spans="4:10" x14ac:dyDescent="0.25">
      <c r="D380" s="6">
        <v>308155</v>
      </c>
      <c r="E380" s="1">
        <v>44638</v>
      </c>
      <c r="F380" s="11">
        <v>1</v>
      </c>
      <c r="H380" s="6">
        <v>308155</v>
      </c>
      <c r="I380" s="1">
        <v>44638</v>
      </c>
      <c r="J380" s="11">
        <v>1</v>
      </c>
    </row>
    <row r="381" spans="4:10" x14ac:dyDescent="0.25">
      <c r="D381" s="6">
        <v>308159</v>
      </c>
      <c r="E381" s="1">
        <v>44812</v>
      </c>
      <c r="F381" s="11">
        <v>1</v>
      </c>
      <c r="H381" s="6">
        <v>308159</v>
      </c>
      <c r="I381" s="1">
        <v>44812</v>
      </c>
      <c r="J381" s="11">
        <v>1</v>
      </c>
    </row>
    <row r="382" spans="4:10" x14ac:dyDescent="0.25">
      <c r="D382" s="6">
        <v>308160</v>
      </c>
      <c r="E382" s="1">
        <v>44565</v>
      </c>
      <c r="F382" s="11">
        <v>1</v>
      </c>
      <c r="H382" s="6">
        <v>308160</v>
      </c>
      <c r="I382" s="1">
        <v>44565</v>
      </c>
      <c r="J382" s="11">
        <v>1</v>
      </c>
    </row>
    <row r="383" spans="4:10" x14ac:dyDescent="0.25">
      <c r="D383" s="6">
        <v>308162</v>
      </c>
      <c r="E383" s="1">
        <v>44570</v>
      </c>
      <c r="F383" s="11">
        <v>2</v>
      </c>
      <c r="H383" s="6">
        <v>308162</v>
      </c>
      <c r="I383" s="1">
        <v>44570</v>
      </c>
      <c r="J383" s="11">
        <v>2</v>
      </c>
    </row>
    <row r="384" spans="4:10" x14ac:dyDescent="0.25">
      <c r="D384" s="6">
        <v>308163</v>
      </c>
      <c r="E384" s="1">
        <v>44730</v>
      </c>
      <c r="F384" s="11">
        <v>5</v>
      </c>
      <c r="H384" s="6">
        <v>308163</v>
      </c>
      <c r="I384" s="1">
        <v>44730</v>
      </c>
      <c r="J384" s="11">
        <v>5</v>
      </c>
    </row>
    <row r="385" spans="4:10" x14ac:dyDescent="0.25">
      <c r="D385" s="6">
        <v>308164</v>
      </c>
      <c r="E385" s="1">
        <v>44662</v>
      </c>
      <c r="F385" s="11">
        <v>2</v>
      </c>
      <c r="H385" s="6">
        <v>308164</v>
      </c>
      <c r="I385" s="1">
        <v>44662</v>
      </c>
      <c r="J385" s="11">
        <v>2</v>
      </c>
    </row>
    <row r="386" spans="4:10" x14ac:dyDescent="0.25">
      <c r="D386" s="6">
        <v>308169</v>
      </c>
      <c r="E386" s="1">
        <v>44794</v>
      </c>
      <c r="F386" s="11">
        <v>6</v>
      </c>
      <c r="H386" s="6">
        <v>308169</v>
      </c>
      <c r="I386" s="1">
        <v>44794</v>
      </c>
      <c r="J386" s="11">
        <v>6</v>
      </c>
    </row>
    <row r="387" spans="4:10" x14ac:dyDescent="0.25">
      <c r="D387" s="6">
        <v>308173</v>
      </c>
      <c r="E387" s="1">
        <v>44732</v>
      </c>
      <c r="F387" s="11">
        <v>4</v>
      </c>
      <c r="H387" s="6">
        <v>308173</v>
      </c>
      <c r="I387" s="1">
        <v>44732</v>
      </c>
      <c r="J387" s="11">
        <v>4</v>
      </c>
    </row>
    <row r="388" spans="4:10" x14ac:dyDescent="0.25">
      <c r="D388" s="6">
        <v>308175</v>
      </c>
      <c r="E388" s="1">
        <v>44598</v>
      </c>
      <c r="F388" s="11">
        <v>4</v>
      </c>
      <c r="H388" s="6">
        <v>308175</v>
      </c>
      <c r="I388" s="1">
        <v>44598</v>
      </c>
      <c r="J388" s="11">
        <v>4</v>
      </c>
    </row>
    <row r="389" spans="4:10" x14ac:dyDescent="0.25">
      <c r="D389" s="6">
        <v>308177</v>
      </c>
      <c r="E389" s="1">
        <v>44771</v>
      </c>
      <c r="F389" s="11">
        <v>4</v>
      </c>
      <c r="H389" s="6">
        <v>308177</v>
      </c>
      <c r="I389" s="1">
        <v>44771</v>
      </c>
      <c r="J389" s="11">
        <v>4</v>
      </c>
    </row>
    <row r="390" spans="4:10" x14ac:dyDescent="0.25">
      <c r="D390" s="6">
        <v>308179</v>
      </c>
      <c r="E390" s="1">
        <v>44744</v>
      </c>
      <c r="F390" s="11">
        <v>5</v>
      </c>
      <c r="H390" s="6">
        <v>308179</v>
      </c>
      <c r="I390" s="1">
        <v>44744</v>
      </c>
      <c r="J390" s="11">
        <v>5</v>
      </c>
    </row>
    <row r="391" spans="4:10" x14ac:dyDescent="0.25">
      <c r="D391" s="6">
        <v>308181</v>
      </c>
      <c r="E391" s="1">
        <v>44859</v>
      </c>
      <c r="F391" s="11">
        <v>1</v>
      </c>
      <c r="H391" s="6">
        <v>308181</v>
      </c>
      <c r="I391" s="1">
        <v>44859</v>
      </c>
      <c r="J391" s="11">
        <v>1</v>
      </c>
    </row>
    <row r="392" spans="4:10" x14ac:dyDescent="0.25">
      <c r="D392" s="6">
        <v>308185</v>
      </c>
      <c r="E392" s="1">
        <v>44612</v>
      </c>
      <c r="F392" s="11">
        <v>3</v>
      </c>
      <c r="H392" s="6">
        <v>308185</v>
      </c>
      <c r="I392" s="1">
        <v>44612</v>
      </c>
      <c r="J392" s="11">
        <v>3</v>
      </c>
    </row>
    <row r="393" spans="4:10" x14ac:dyDescent="0.25">
      <c r="D393" s="6">
        <v>308189</v>
      </c>
      <c r="E393" s="1">
        <v>44768</v>
      </c>
      <c r="F393" s="11">
        <v>1</v>
      </c>
      <c r="H393" s="6">
        <v>308189</v>
      </c>
      <c r="I393" s="1">
        <v>44768</v>
      </c>
      <c r="J393" s="11">
        <v>1</v>
      </c>
    </row>
    <row r="394" spans="4:10" x14ac:dyDescent="0.25">
      <c r="D394" s="6">
        <v>308192</v>
      </c>
      <c r="E394" s="1">
        <v>44659</v>
      </c>
      <c r="F394" s="11">
        <v>2</v>
      </c>
      <c r="H394" s="6">
        <v>308192</v>
      </c>
      <c r="I394" s="1">
        <v>44659</v>
      </c>
      <c r="J394" s="11">
        <v>2</v>
      </c>
    </row>
    <row r="395" spans="4:10" x14ac:dyDescent="0.25">
      <c r="D395" s="6">
        <v>308194</v>
      </c>
      <c r="E395" s="1">
        <v>44810</v>
      </c>
      <c r="F395" s="11">
        <v>6</v>
      </c>
      <c r="H395" s="6">
        <v>308194</v>
      </c>
      <c r="I395" s="1">
        <v>44810</v>
      </c>
      <c r="J395" s="11">
        <v>6</v>
      </c>
    </row>
    <row r="396" spans="4:10" x14ac:dyDescent="0.25">
      <c r="D396" s="6">
        <v>308198</v>
      </c>
      <c r="E396" s="1">
        <v>44666</v>
      </c>
      <c r="F396" s="11">
        <v>1</v>
      </c>
      <c r="H396" s="6">
        <v>308198</v>
      </c>
      <c r="I396" s="1">
        <v>44666</v>
      </c>
      <c r="J396" s="11">
        <v>1</v>
      </c>
    </row>
    <row r="397" spans="4:10" x14ac:dyDescent="0.25">
      <c r="D397" s="6">
        <v>308201</v>
      </c>
      <c r="E397" s="1">
        <v>44703</v>
      </c>
      <c r="F397" s="11">
        <v>5</v>
      </c>
      <c r="H397" s="6">
        <v>308201</v>
      </c>
      <c r="I397" s="1">
        <v>44703</v>
      </c>
      <c r="J397" s="11">
        <v>5</v>
      </c>
    </row>
    <row r="398" spans="4:10" x14ac:dyDescent="0.25">
      <c r="D398" s="6">
        <v>308205</v>
      </c>
      <c r="E398" s="1">
        <v>44802</v>
      </c>
      <c r="F398" s="11">
        <v>1</v>
      </c>
      <c r="H398" s="6">
        <v>308205</v>
      </c>
      <c r="I398" s="1">
        <v>44802</v>
      </c>
      <c r="J398" s="11">
        <v>1</v>
      </c>
    </row>
    <row r="399" spans="4:10" x14ac:dyDescent="0.25">
      <c r="D399" s="6">
        <v>308206</v>
      </c>
      <c r="E399" s="1">
        <v>44627</v>
      </c>
      <c r="F399" s="11">
        <v>2</v>
      </c>
      <c r="H399" s="6">
        <v>308206</v>
      </c>
      <c r="I399" s="1">
        <v>44627</v>
      </c>
      <c r="J399" s="11">
        <v>2</v>
      </c>
    </row>
    <row r="400" spans="4:10" x14ac:dyDescent="0.25">
      <c r="D400" s="6">
        <v>308211</v>
      </c>
      <c r="E400" s="1">
        <v>44576</v>
      </c>
      <c r="F400" s="11">
        <v>1</v>
      </c>
      <c r="H400" s="6">
        <v>308211</v>
      </c>
      <c r="I400" s="1">
        <v>44576</v>
      </c>
      <c r="J400" s="11">
        <v>1</v>
      </c>
    </row>
    <row r="401" spans="4:10" x14ac:dyDescent="0.25">
      <c r="D401" s="6">
        <v>308213</v>
      </c>
      <c r="E401" s="1">
        <v>44771</v>
      </c>
      <c r="F401" s="11">
        <v>3</v>
      </c>
      <c r="H401" s="6">
        <v>308213</v>
      </c>
      <c r="I401" s="1">
        <v>44771</v>
      </c>
      <c r="J401" s="11">
        <v>3</v>
      </c>
    </row>
    <row r="402" spans="4:10" x14ac:dyDescent="0.25">
      <c r="D402" s="6">
        <v>308217</v>
      </c>
      <c r="E402" s="1">
        <v>44576</v>
      </c>
      <c r="F402" s="11">
        <v>4</v>
      </c>
      <c r="H402" s="6">
        <v>308217</v>
      </c>
      <c r="I402" s="1">
        <v>44576</v>
      </c>
      <c r="J402" s="11">
        <v>4</v>
      </c>
    </row>
    <row r="403" spans="4:10" x14ac:dyDescent="0.25">
      <c r="D403" s="6">
        <v>308222</v>
      </c>
      <c r="E403" s="1">
        <v>44659</v>
      </c>
      <c r="F403" s="11">
        <v>5</v>
      </c>
      <c r="H403" s="6">
        <v>308222</v>
      </c>
      <c r="I403" s="1">
        <v>44659</v>
      </c>
      <c r="J403" s="11">
        <v>5</v>
      </c>
    </row>
    <row r="404" spans="4:10" x14ac:dyDescent="0.25">
      <c r="D404" s="6">
        <v>308223</v>
      </c>
      <c r="E404" s="1">
        <v>44567</v>
      </c>
      <c r="F404" s="11">
        <v>6</v>
      </c>
      <c r="H404" s="6">
        <v>308223</v>
      </c>
      <c r="I404" s="1">
        <v>44567</v>
      </c>
      <c r="J404" s="11">
        <v>6</v>
      </c>
    </row>
    <row r="405" spans="4:10" x14ac:dyDescent="0.25">
      <c r="D405" s="6">
        <v>308224</v>
      </c>
      <c r="E405" s="1">
        <v>44749</v>
      </c>
      <c r="F405" s="11">
        <v>3</v>
      </c>
      <c r="H405" s="6">
        <v>308224</v>
      </c>
      <c r="I405" s="1">
        <v>44749</v>
      </c>
      <c r="J405" s="11">
        <v>3</v>
      </c>
    </row>
    <row r="406" spans="4:10" x14ac:dyDescent="0.25">
      <c r="D406" s="6">
        <v>308226</v>
      </c>
      <c r="E406" s="1">
        <v>44680</v>
      </c>
      <c r="F406" s="11">
        <v>2</v>
      </c>
      <c r="H406" s="6">
        <v>308226</v>
      </c>
      <c r="I406" s="1">
        <v>44680</v>
      </c>
      <c r="J406" s="11">
        <v>2</v>
      </c>
    </row>
    <row r="407" spans="4:10" x14ac:dyDescent="0.25">
      <c r="D407" s="6">
        <v>308231</v>
      </c>
      <c r="E407" s="1">
        <v>44748</v>
      </c>
      <c r="F407" s="11">
        <v>6</v>
      </c>
      <c r="H407" s="6">
        <v>308231</v>
      </c>
      <c r="I407" s="1">
        <v>44748</v>
      </c>
      <c r="J407" s="11">
        <v>6</v>
      </c>
    </row>
    <row r="408" spans="4:10" x14ac:dyDescent="0.25">
      <c r="D408" s="6">
        <v>308235</v>
      </c>
      <c r="E408" s="1">
        <v>44568</v>
      </c>
      <c r="F408" s="11">
        <v>2</v>
      </c>
      <c r="H408" s="6">
        <v>308235</v>
      </c>
      <c r="I408" s="1">
        <v>44568</v>
      </c>
      <c r="J408" s="11">
        <v>2</v>
      </c>
    </row>
    <row r="409" spans="4:10" x14ac:dyDescent="0.25">
      <c r="D409" s="6">
        <v>308238</v>
      </c>
      <c r="E409" s="1">
        <v>44748</v>
      </c>
      <c r="F409" s="11">
        <v>3</v>
      </c>
      <c r="H409" s="6">
        <v>308238</v>
      </c>
      <c r="I409" s="1">
        <v>44748</v>
      </c>
      <c r="J409" s="11">
        <v>3</v>
      </c>
    </row>
    <row r="410" spans="4:10" x14ac:dyDescent="0.25">
      <c r="D410" s="6">
        <v>308241</v>
      </c>
      <c r="E410" s="1">
        <v>44718</v>
      </c>
      <c r="F410" s="11">
        <v>2</v>
      </c>
      <c r="H410" s="6">
        <v>308241</v>
      </c>
      <c r="I410" s="1">
        <v>44718</v>
      </c>
      <c r="J410" s="11">
        <v>2</v>
      </c>
    </row>
    <row r="411" spans="4:10" x14ac:dyDescent="0.25">
      <c r="D411" s="6">
        <v>308246</v>
      </c>
      <c r="E411" s="1">
        <v>44853</v>
      </c>
      <c r="F411" s="11">
        <v>1</v>
      </c>
      <c r="H411" s="6">
        <v>308246</v>
      </c>
      <c r="I411" s="1">
        <v>44853</v>
      </c>
      <c r="J411" s="11">
        <v>1</v>
      </c>
    </row>
    <row r="412" spans="4:10" x14ac:dyDescent="0.25">
      <c r="D412" s="6">
        <v>308249</v>
      </c>
      <c r="E412" s="1">
        <v>44740</v>
      </c>
      <c r="F412" s="11">
        <v>1</v>
      </c>
      <c r="H412" s="6">
        <v>308249</v>
      </c>
      <c r="I412" s="1">
        <v>44740</v>
      </c>
      <c r="J412" s="11">
        <v>1</v>
      </c>
    </row>
    <row r="413" spans="4:10" x14ac:dyDescent="0.25">
      <c r="D413" s="6">
        <v>308252</v>
      </c>
      <c r="E413" s="1">
        <v>44643</v>
      </c>
      <c r="F413" s="11">
        <v>2</v>
      </c>
      <c r="H413" s="6">
        <v>308252</v>
      </c>
      <c r="I413" s="1">
        <v>44643</v>
      </c>
      <c r="J413" s="11">
        <v>2</v>
      </c>
    </row>
    <row r="414" spans="4:10" x14ac:dyDescent="0.25">
      <c r="D414" s="6">
        <v>308255</v>
      </c>
      <c r="E414" s="1">
        <v>44647</v>
      </c>
      <c r="F414" s="11">
        <v>1</v>
      </c>
      <c r="H414" s="6">
        <v>308255</v>
      </c>
      <c r="I414" s="1">
        <v>44647</v>
      </c>
      <c r="J414" s="11">
        <v>1</v>
      </c>
    </row>
    <row r="415" spans="4:10" x14ac:dyDescent="0.25">
      <c r="D415" s="6">
        <v>308256</v>
      </c>
      <c r="E415" s="1">
        <v>44815</v>
      </c>
      <c r="F415" s="11">
        <v>4</v>
      </c>
      <c r="H415" s="6">
        <v>308256</v>
      </c>
      <c r="I415" s="1">
        <v>44815</v>
      </c>
      <c r="J415" s="11">
        <v>4</v>
      </c>
    </row>
    <row r="416" spans="4:10" x14ac:dyDescent="0.25">
      <c r="D416" s="6">
        <v>308257</v>
      </c>
      <c r="E416" s="1">
        <v>44852</v>
      </c>
      <c r="F416" s="11">
        <v>1</v>
      </c>
      <c r="H416" s="6">
        <v>308257</v>
      </c>
      <c r="I416" s="1">
        <v>44852</v>
      </c>
      <c r="J416" s="11">
        <v>1</v>
      </c>
    </row>
    <row r="417" spans="4:10" x14ac:dyDescent="0.25">
      <c r="D417" s="6">
        <v>308258</v>
      </c>
      <c r="E417" s="1">
        <v>44745</v>
      </c>
      <c r="F417" s="11">
        <v>4</v>
      </c>
      <c r="H417" s="6">
        <v>308258</v>
      </c>
      <c r="I417" s="1">
        <v>44745</v>
      </c>
      <c r="J417" s="11">
        <v>4</v>
      </c>
    </row>
    <row r="418" spans="4:10" x14ac:dyDescent="0.25">
      <c r="D418" s="6">
        <v>308263</v>
      </c>
      <c r="E418" s="1">
        <v>44606</v>
      </c>
      <c r="F418" s="11">
        <v>4</v>
      </c>
      <c r="H418" s="6">
        <v>308263</v>
      </c>
      <c r="I418" s="1">
        <v>44606</v>
      </c>
      <c r="J418" s="11">
        <v>4</v>
      </c>
    </row>
    <row r="419" spans="4:10" x14ac:dyDescent="0.25">
      <c r="D419" s="6">
        <v>308266</v>
      </c>
      <c r="E419" s="1">
        <v>44703</v>
      </c>
      <c r="F419" s="11">
        <v>4</v>
      </c>
      <c r="H419" s="6">
        <v>308266</v>
      </c>
      <c r="I419" s="1">
        <v>44703</v>
      </c>
      <c r="J419" s="11">
        <v>4</v>
      </c>
    </row>
    <row r="420" spans="4:10" x14ac:dyDescent="0.25">
      <c r="D420" s="6">
        <v>308267</v>
      </c>
      <c r="E420" s="1">
        <v>44700</v>
      </c>
      <c r="F420" s="11">
        <v>1</v>
      </c>
      <c r="H420" s="6">
        <v>308267</v>
      </c>
      <c r="I420" s="1">
        <v>44700</v>
      </c>
      <c r="J420" s="11">
        <v>1</v>
      </c>
    </row>
    <row r="421" spans="4:10" x14ac:dyDescent="0.25">
      <c r="D421" s="6">
        <v>308270</v>
      </c>
      <c r="E421" s="1">
        <v>44683</v>
      </c>
      <c r="F421" s="11">
        <v>5</v>
      </c>
      <c r="H421" s="6">
        <v>308270</v>
      </c>
      <c r="I421" s="1">
        <v>44683</v>
      </c>
      <c r="J421" s="11">
        <v>5</v>
      </c>
    </row>
    <row r="422" spans="4:10" x14ac:dyDescent="0.25">
      <c r="D422" s="6">
        <v>308272</v>
      </c>
      <c r="E422" s="1">
        <v>44576</v>
      </c>
      <c r="F422" s="11">
        <v>4</v>
      </c>
      <c r="H422" s="6">
        <v>308272</v>
      </c>
      <c r="I422" s="1">
        <v>44576</v>
      </c>
      <c r="J422" s="11">
        <v>4</v>
      </c>
    </row>
    <row r="423" spans="4:10" x14ac:dyDescent="0.25">
      <c r="D423" s="6">
        <v>308274</v>
      </c>
      <c r="E423" s="1">
        <v>44810</v>
      </c>
      <c r="F423" s="11">
        <v>4</v>
      </c>
      <c r="H423" s="6">
        <v>308274</v>
      </c>
      <c r="I423" s="1">
        <v>44810</v>
      </c>
      <c r="J423" s="11">
        <v>4</v>
      </c>
    </row>
    <row r="424" spans="4:10" x14ac:dyDescent="0.25">
      <c r="D424" s="6">
        <v>308275</v>
      </c>
      <c r="E424" s="1">
        <v>44753</v>
      </c>
      <c r="F424" s="11">
        <v>6</v>
      </c>
      <c r="H424" s="6">
        <v>308275</v>
      </c>
      <c r="I424" s="1">
        <v>44753</v>
      </c>
      <c r="J424" s="11">
        <v>6</v>
      </c>
    </row>
    <row r="425" spans="4:10" x14ac:dyDescent="0.25">
      <c r="D425" s="6">
        <v>308278</v>
      </c>
      <c r="E425" s="1">
        <v>44599</v>
      </c>
      <c r="F425" s="11">
        <v>6</v>
      </c>
      <c r="H425" s="6">
        <v>308278</v>
      </c>
      <c r="I425" s="1">
        <v>44599</v>
      </c>
      <c r="J425" s="11">
        <v>6</v>
      </c>
    </row>
    <row r="426" spans="4:10" x14ac:dyDescent="0.25">
      <c r="D426" s="6">
        <v>308279</v>
      </c>
      <c r="E426" s="1">
        <v>44621</v>
      </c>
      <c r="F426" s="11">
        <v>1</v>
      </c>
      <c r="H426" s="6">
        <v>308279</v>
      </c>
      <c r="I426" s="1">
        <v>44621</v>
      </c>
      <c r="J426" s="11">
        <v>1</v>
      </c>
    </row>
    <row r="427" spans="4:10" x14ac:dyDescent="0.25">
      <c r="D427" s="6">
        <v>308280</v>
      </c>
      <c r="E427" s="1">
        <v>44809</v>
      </c>
      <c r="F427" s="11">
        <v>1</v>
      </c>
      <c r="H427" s="6">
        <v>308280</v>
      </c>
      <c r="I427" s="1">
        <v>44809</v>
      </c>
      <c r="J427" s="11">
        <v>1</v>
      </c>
    </row>
    <row r="428" spans="4:10" x14ac:dyDescent="0.25">
      <c r="D428" s="6">
        <v>308282</v>
      </c>
      <c r="E428" s="1">
        <v>44578</v>
      </c>
      <c r="F428" s="11">
        <v>6</v>
      </c>
      <c r="H428" s="6">
        <v>308282</v>
      </c>
      <c r="I428" s="1">
        <v>44578</v>
      </c>
      <c r="J428" s="11">
        <v>6</v>
      </c>
    </row>
    <row r="429" spans="4:10" x14ac:dyDescent="0.25">
      <c r="D429" s="6">
        <v>308286</v>
      </c>
      <c r="E429" s="1">
        <v>44615</v>
      </c>
      <c r="F429" s="11">
        <v>4</v>
      </c>
      <c r="H429" s="6">
        <v>308286</v>
      </c>
      <c r="I429" s="1">
        <v>44615</v>
      </c>
      <c r="J429" s="11">
        <v>4</v>
      </c>
    </row>
    <row r="430" spans="4:10" x14ac:dyDescent="0.25">
      <c r="D430" s="6">
        <v>308288</v>
      </c>
      <c r="E430" s="1">
        <v>44779</v>
      </c>
      <c r="F430" s="11">
        <v>2</v>
      </c>
      <c r="H430" s="6">
        <v>308288</v>
      </c>
      <c r="I430" s="1">
        <v>44779</v>
      </c>
      <c r="J430" s="11">
        <v>2</v>
      </c>
    </row>
    <row r="431" spans="4:10" x14ac:dyDescent="0.25">
      <c r="D431" s="6">
        <v>308293</v>
      </c>
      <c r="E431" s="1">
        <v>44757</v>
      </c>
      <c r="F431" s="11">
        <v>3</v>
      </c>
      <c r="H431" s="6">
        <v>308293</v>
      </c>
      <c r="I431" s="1">
        <v>44757</v>
      </c>
      <c r="J431" s="11">
        <v>3</v>
      </c>
    </row>
    <row r="432" spans="4:10" x14ac:dyDescent="0.25">
      <c r="D432" s="6">
        <v>308294</v>
      </c>
      <c r="E432" s="1">
        <v>44594</v>
      </c>
      <c r="F432" s="11">
        <v>3</v>
      </c>
      <c r="H432" s="6">
        <v>308294</v>
      </c>
      <c r="I432" s="1">
        <v>44594</v>
      </c>
      <c r="J432" s="11">
        <v>3</v>
      </c>
    </row>
    <row r="433" spans="4:10" x14ac:dyDescent="0.25">
      <c r="D433" s="6">
        <v>308299</v>
      </c>
      <c r="E433" s="1">
        <v>44627</v>
      </c>
      <c r="F433" s="11">
        <v>3</v>
      </c>
      <c r="H433" s="6">
        <v>308299</v>
      </c>
      <c r="I433" s="1">
        <v>44627</v>
      </c>
      <c r="J433" s="11">
        <v>3</v>
      </c>
    </row>
    <row r="434" spans="4:10" x14ac:dyDescent="0.25">
      <c r="D434" s="6">
        <v>308304</v>
      </c>
      <c r="E434" s="1">
        <v>44851</v>
      </c>
      <c r="F434" s="11">
        <v>1</v>
      </c>
      <c r="H434" s="6">
        <v>308304</v>
      </c>
      <c r="I434" s="1">
        <v>44851</v>
      </c>
      <c r="J434" s="11">
        <v>1</v>
      </c>
    </row>
    <row r="435" spans="4:10" x14ac:dyDescent="0.25">
      <c r="D435" s="6">
        <v>308308</v>
      </c>
      <c r="E435" s="1">
        <v>44630</v>
      </c>
      <c r="F435" s="11">
        <v>1</v>
      </c>
      <c r="H435" s="6">
        <v>308308</v>
      </c>
      <c r="I435" s="1">
        <v>44630</v>
      </c>
      <c r="J435" s="11">
        <v>1</v>
      </c>
    </row>
    <row r="436" spans="4:10" x14ac:dyDescent="0.25">
      <c r="D436" s="6">
        <v>308313</v>
      </c>
      <c r="E436" s="1">
        <v>44589</v>
      </c>
      <c r="F436" s="11">
        <v>5</v>
      </c>
      <c r="H436" s="6">
        <v>308313</v>
      </c>
      <c r="I436" s="1">
        <v>44589</v>
      </c>
      <c r="J436" s="11">
        <v>5</v>
      </c>
    </row>
    <row r="437" spans="4:10" x14ac:dyDescent="0.25">
      <c r="D437" s="6">
        <v>308318</v>
      </c>
      <c r="E437" s="1">
        <v>44622</v>
      </c>
      <c r="F437" s="11">
        <v>5</v>
      </c>
      <c r="H437" s="6">
        <v>308318</v>
      </c>
      <c r="I437" s="1">
        <v>44622</v>
      </c>
      <c r="J437" s="11">
        <v>5</v>
      </c>
    </row>
    <row r="438" spans="4:10" x14ac:dyDescent="0.25">
      <c r="D438" s="6">
        <v>308323</v>
      </c>
      <c r="E438" s="1">
        <v>44756</v>
      </c>
      <c r="F438" s="11">
        <v>5</v>
      </c>
      <c r="H438" s="6">
        <v>308323</v>
      </c>
      <c r="I438" s="1">
        <v>44756</v>
      </c>
      <c r="J438" s="11">
        <v>5</v>
      </c>
    </row>
    <row r="439" spans="4:10" x14ac:dyDescent="0.25">
      <c r="D439" s="6">
        <v>308328</v>
      </c>
      <c r="E439" s="1">
        <v>44592</v>
      </c>
      <c r="F439" s="11">
        <v>5</v>
      </c>
      <c r="H439" s="6">
        <v>308328</v>
      </c>
      <c r="I439" s="1">
        <v>44592</v>
      </c>
      <c r="J439" s="11">
        <v>5</v>
      </c>
    </row>
    <row r="440" spans="4:10" x14ac:dyDescent="0.25">
      <c r="D440" s="6">
        <v>308333</v>
      </c>
      <c r="E440" s="1">
        <v>44784</v>
      </c>
      <c r="F440" s="11">
        <v>2</v>
      </c>
      <c r="H440" s="6">
        <v>308333</v>
      </c>
      <c r="I440" s="1">
        <v>44784</v>
      </c>
      <c r="J440" s="11">
        <v>2</v>
      </c>
    </row>
    <row r="441" spans="4:10" x14ac:dyDescent="0.25">
      <c r="D441" s="6">
        <v>308337</v>
      </c>
      <c r="E441" s="1">
        <v>44573</v>
      </c>
      <c r="F441" s="11">
        <v>2</v>
      </c>
      <c r="H441" s="6">
        <v>308337</v>
      </c>
      <c r="I441" s="1">
        <v>44573</v>
      </c>
      <c r="J441" s="11">
        <v>2</v>
      </c>
    </row>
    <row r="442" spans="4:10" x14ac:dyDescent="0.25">
      <c r="D442" s="6">
        <v>308340</v>
      </c>
      <c r="E442" s="1">
        <v>44595</v>
      </c>
      <c r="F442" s="11">
        <v>5</v>
      </c>
      <c r="H442" s="6">
        <v>308340</v>
      </c>
      <c r="I442" s="1">
        <v>44595</v>
      </c>
      <c r="J442" s="11">
        <v>5</v>
      </c>
    </row>
    <row r="443" spans="4:10" x14ac:dyDescent="0.25">
      <c r="D443" s="6">
        <v>308342</v>
      </c>
      <c r="E443" s="1">
        <v>44682</v>
      </c>
      <c r="F443" s="11">
        <v>3</v>
      </c>
      <c r="H443" s="6">
        <v>308342</v>
      </c>
      <c r="I443" s="1">
        <v>44682</v>
      </c>
      <c r="J443" s="11">
        <v>3</v>
      </c>
    </row>
    <row r="444" spans="4:10" x14ac:dyDescent="0.25">
      <c r="D444" s="6">
        <v>308347</v>
      </c>
      <c r="E444" s="1">
        <v>44802</v>
      </c>
      <c r="F444" s="11">
        <v>2</v>
      </c>
      <c r="H444" s="6">
        <v>308347</v>
      </c>
      <c r="I444" s="1">
        <v>44802</v>
      </c>
      <c r="J444" s="11">
        <v>2</v>
      </c>
    </row>
    <row r="445" spans="4:10" x14ac:dyDescent="0.25">
      <c r="D445" s="6">
        <v>308348</v>
      </c>
      <c r="E445" s="1">
        <v>44863</v>
      </c>
      <c r="F445" s="11">
        <v>4</v>
      </c>
      <c r="H445" s="6">
        <v>308348</v>
      </c>
      <c r="I445" s="1">
        <v>44863</v>
      </c>
      <c r="J445" s="11">
        <v>4</v>
      </c>
    </row>
    <row r="446" spans="4:10" x14ac:dyDescent="0.25">
      <c r="D446" s="6">
        <v>308352</v>
      </c>
      <c r="E446" s="1">
        <v>44602</v>
      </c>
      <c r="F446" s="11">
        <v>4</v>
      </c>
      <c r="H446" s="6">
        <v>308352</v>
      </c>
      <c r="I446" s="1">
        <v>44602</v>
      </c>
      <c r="J446" s="11">
        <v>4</v>
      </c>
    </row>
    <row r="447" spans="4:10" x14ac:dyDescent="0.25">
      <c r="D447" s="6">
        <v>308353</v>
      </c>
      <c r="E447" s="1">
        <v>44665</v>
      </c>
      <c r="F447" s="11">
        <v>3</v>
      </c>
      <c r="H447" s="6">
        <v>308353</v>
      </c>
      <c r="I447" s="1">
        <v>44665</v>
      </c>
      <c r="J447" s="11">
        <v>3</v>
      </c>
    </row>
    <row r="448" spans="4:10" x14ac:dyDescent="0.25">
      <c r="D448" s="6">
        <v>308356</v>
      </c>
      <c r="E448" s="1">
        <v>44748</v>
      </c>
      <c r="F448" s="11">
        <v>3</v>
      </c>
      <c r="H448" s="6">
        <v>308356</v>
      </c>
      <c r="I448" s="1">
        <v>44748</v>
      </c>
      <c r="J448" s="11">
        <v>3</v>
      </c>
    </row>
    <row r="449" spans="4:10" x14ac:dyDescent="0.25">
      <c r="D449" s="6">
        <v>308361</v>
      </c>
      <c r="E449" s="1">
        <v>44838</v>
      </c>
      <c r="F449" s="11">
        <v>6</v>
      </c>
      <c r="H449" s="6">
        <v>308361</v>
      </c>
      <c r="I449" s="1">
        <v>44838</v>
      </c>
      <c r="J449" s="11">
        <v>6</v>
      </c>
    </row>
    <row r="450" spans="4:10" x14ac:dyDescent="0.25">
      <c r="D450" s="6">
        <v>308363</v>
      </c>
      <c r="E450" s="1">
        <v>44624</v>
      </c>
      <c r="F450" s="11">
        <v>3</v>
      </c>
      <c r="H450" s="6">
        <v>308363</v>
      </c>
      <c r="I450" s="1">
        <v>44624</v>
      </c>
      <c r="J450" s="11">
        <v>3</v>
      </c>
    </row>
    <row r="451" spans="4:10" x14ac:dyDescent="0.25">
      <c r="D451" s="6">
        <v>308368</v>
      </c>
      <c r="E451" s="1">
        <v>44832</v>
      </c>
      <c r="F451" s="11">
        <v>3</v>
      </c>
      <c r="H451" s="6">
        <v>308368</v>
      </c>
      <c r="I451" s="1">
        <v>44832</v>
      </c>
      <c r="J451" s="11">
        <v>3</v>
      </c>
    </row>
    <row r="452" spans="4:10" x14ac:dyDescent="0.25">
      <c r="D452" s="6">
        <v>308369</v>
      </c>
      <c r="E452" s="1">
        <v>44573</v>
      </c>
      <c r="F452" s="11">
        <v>2</v>
      </c>
      <c r="H452" s="6">
        <v>308369</v>
      </c>
      <c r="I452" s="1">
        <v>44573</v>
      </c>
      <c r="J452" s="11">
        <v>2</v>
      </c>
    </row>
    <row r="453" spans="4:10" x14ac:dyDescent="0.25">
      <c r="D453" s="6">
        <v>308372</v>
      </c>
      <c r="E453" s="1">
        <v>44834</v>
      </c>
      <c r="F453" s="11">
        <v>1</v>
      </c>
      <c r="H453" s="6">
        <v>308372</v>
      </c>
      <c r="I453" s="1">
        <v>44834</v>
      </c>
      <c r="J453" s="11">
        <v>1</v>
      </c>
    </row>
    <row r="454" spans="4:10" x14ac:dyDescent="0.25">
      <c r="D454" s="6">
        <v>308374</v>
      </c>
      <c r="E454" s="1">
        <v>44705</v>
      </c>
      <c r="F454" s="11">
        <v>3</v>
      </c>
      <c r="H454" s="6">
        <v>308374</v>
      </c>
      <c r="I454" s="1">
        <v>44705</v>
      </c>
      <c r="J454" s="11">
        <v>3</v>
      </c>
    </row>
    <row r="455" spans="4:10" x14ac:dyDescent="0.25">
      <c r="D455" s="6">
        <v>308379</v>
      </c>
      <c r="E455" s="1">
        <v>44579</v>
      </c>
      <c r="F455" s="11">
        <v>2</v>
      </c>
      <c r="H455" s="6">
        <v>308379</v>
      </c>
      <c r="I455" s="1">
        <v>44579</v>
      </c>
      <c r="J455" s="11">
        <v>2</v>
      </c>
    </row>
    <row r="456" spans="4:10" x14ac:dyDescent="0.25">
      <c r="D456" s="6">
        <v>308380</v>
      </c>
      <c r="E456" s="1">
        <v>44697</v>
      </c>
      <c r="F456" s="11">
        <v>2</v>
      </c>
      <c r="H456" s="6">
        <v>308380</v>
      </c>
      <c r="I456" s="1">
        <v>44697</v>
      </c>
      <c r="J456" s="11">
        <v>2</v>
      </c>
    </row>
    <row r="457" spans="4:10" x14ac:dyDescent="0.25">
      <c r="D457" s="6">
        <v>308382</v>
      </c>
      <c r="E457" s="1">
        <v>44699</v>
      </c>
      <c r="F457" s="11">
        <v>1</v>
      </c>
      <c r="H457" s="6">
        <v>308382</v>
      </c>
      <c r="I457" s="1">
        <v>44699</v>
      </c>
      <c r="J457" s="11">
        <v>1</v>
      </c>
    </row>
    <row r="458" spans="4:10" x14ac:dyDescent="0.25">
      <c r="D458" s="6">
        <v>308387</v>
      </c>
      <c r="E458" s="1">
        <v>44749</v>
      </c>
      <c r="F458" s="11">
        <v>5</v>
      </c>
      <c r="H458" s="6">
        <v>308387</v>
      </c>
      <c r="I458" s="1">
        <v>44749</v>
      </c>
      <c r="J458" s="11">
        <v>5</v>
      </c>
    </row>
    <row r="459" spans="4:10" x14ac:dyDescent="0.25">
      <c r="D459" s="6">
        <v>308392</v>
      </c>
      <c r="E459" s="1">
        <v>44768</v>
      </c>
      <c r="F459" s="11">
        <v>4</v>
      </c>
      <c r="H459" s="6">
        <v>308392</v>
      </c>
      <c r="I459" s="1">
        <v>44768</v>
      </c>
      <c r="J459" s="11">
        <v>4</v>
      </c>
    </row>
    <row r="460" spans="4:10" x14ac:dyDescent="0.25">
      <c r="D460" s="6">
        <v>308397</v>
      </c>
      <c r="E460" s="1">
        <v>44711</v>
      </c>
      <c r="F460" s="11">
        <v>5</v>
      </c>
      <c r="H460" s="6">
        <v>308397</v>
      </c>
      <c r="I460" s="1">
        <v>44711</v>
      </c>
      <c r="J460" s="11">
        <v>5</v>
      </c>
    </row>
    <row r="461" spans="4:10" x14ac:dyDescent="0.25">
      <c r="D461" s="6">
        <v>308399</v>
      </c>
      <c r="E461" s="1">
        <v>44678</v>
      </c>
      <c r="F461" s="11">
        <v>1</v>
      </c>
      <c r="H461" s="6">
        <v>308399</v>
      </c>
      <c r="I461" s="1">
        <v>44678</v>
      </c>
      <c r="J461" s="11">
        <v>1</v>
      </c>
    </row>
    <row r="462" spans="4:10" x14ac:dyDescent="0.25">
      <c r="D462" s="6">
        <v>308400</v>
      </c>
      <c r="E462" s="1">
        <v>44752</v>
      </c>
      <c r="F462" s="11">
        <v>4</v>
      </c>
      <c r="H462" s="6">
        <v>308400</v>
      </c>
      <c r="I462" s="1">
        <v>44752</v>
      </c>
      <c r="J462" s="11">
        <v>4</v>
      </c>
    </row>
    <row r="463" spans="4:10" x14ac:dyDescent="0.25">
      <c r="D463" s="6">
        <v>308405</v>
      </c>
      <c r="E463" s="1">
        <v>44760</v>
      </c>
      <c r="F463" s="11">
        <v>5</v>
      </c>
      <c r="H463" s="6">
        <v>308405</v>
      </c>
      <c r="I463" s="1">
        <v>44760</v>
      </c>
      <c r="J463" s="11">
        <v>5</v>
      </c>
    </row>
    <row r="464" spans="4:10" x14ac:dyDescent="0.25">
      <c r="D464" s="6">
        <v>308410</v>
      </c>
      <c r="E464" s="1">
        <v>44569</v>
      </c>
      <c r="F464" s="11">
        <v>2</v>
      </c>
      <c r="H464" s="6">
        <v>308410</v>
      </c>
      <c r="I464" s="1">
        <v>44569</v>
      </c>
      <c r="J464" s="11">
        <v>2</v>
      </c>
    </row>
    <row r="465" spans="4:10" x14ac:dyDescent="0.25">
      <c r="D465" s="6">
        <v>308414</v>
      </c>
      <c r="E465" s="1">
        <v>44605</v>
      </c>
      <c r="F465" s="11">
        <v>6</v>
      </c>
      <c r="H465" s="6">
        <v>308414</v>
      </c>
      <c r="I465" s="1">
        <v>44605</v>
      </c>
      <c r="J465" s="11">
        <v>6</v>
      </c>
    </row>
    <row r="466" spans="4:10" x14ac:dyDescent="0.25">
      <c r="D466" s="6">
        <v>308416</v>
      </c>
      <c r="E466" s="1">
        <v>44747</v>
      </c>
      <c r="F466" s="11">
        <v>6</v>
      </c>
      <c r="H466" s="6">
        <v>308416</v>
      </c>
      <c r="I466" s="1">
        <v>44747</v>
      </c>
      <c r="J466" s="11">
        <v>6</v>
      </c>
    </row>
    <row r="467" spans="4:10" x14ac:dyDescent="0.25">
      <c r="D467" s="6">
        <v>308420</v>
      </c>
      <c r="E467" s="1">
        <v>44857</v>
      </c>
      <c r="F467" s="11">
        <v>1</v>
      </c>
      <c r="H467" s="6">
        <v>308420</v>
      </c>
      <c r="I467" s="1">
        <v>44857</v>
      </c>
      <c r="J467" s="11">
        <v>1</v>
      </c>
    </row>
    <row r="468" spans="4:10" x14ac:dyDescent="0.25">
      <c r="D468" s="6">
        <v>308423</v>
      </c>
      <c r="E468" s="1">
        <v>44671</v>
      </c>
      <c r="F468" s="11">
        <v>1</v>
      </c>
      <c r="H468" s="6">
        <v>308423</v>
      </c>
      <c r="I468" s="1">
        <v>44671</v>
      </c>
      <c r="J468" s="11">
        <v>1</v>
      </c>
    </row>
    <row r="469" spans="4:10" x14ac:dyDescent="0.25">
      <c r="D469" s="6">
        <v>308426</v>
      </c>
      <c r="E469" s="1">
        <v>44564</v>
      </c>
      <c r="F469" s="11">
        <v>3</v>
      </c>
      <c r="H469" s="6">
        <v>308426</v>
      </c>
      <c r="I469" s="1">
        <v>44564</v>
      </c>
      <c r="J469" s="11">
        <v>3</v>
      </c>
    </row>
    <row r="470" spans="4:10" x14ac:dyDescent="0.25">
      <c r="D470" s="6">
        <v>308429</v>
      </c>
      <c r="E470" s="1">
        <v>44775</v>
      </c>
      <c r="F470" s="11">
        <v>3</v>
      </c>
      <c r="H470" s="6">
        <v>308429</v>
      </c>
      <c r="I470" s="1">
        <v>44775</v>
      </c>
      <c r="J470" s="11">
        <v>3</v>
      </c>
    </row>
    <row r="471" spans="4:10" x14ac:dyDescent="0.25">
      <c r="D471" s="6">
        <v>308431</v>
      </c>
      <c r="E471" s="1">
        <v>44601</v>
      </c>
      <c r="F471" s="11">
        <v>2</v>
      </c>
      <c r="H471" s="6">
        <v>308431</v>
      </c>
      <c r="I471" s="1">
        <v>44601</v>
      </c>
      <c r="J471" s="11">
        <v>2</v>
      </c>
    </row>
    <row r="472" spans="4:10" x14ac:dyDescent="0.25">
      <c r="D472" s="6">
        <v>308433</v>
      </c>
      <c r="E472" s="1">
        <v>44857</v>
      </c>
      <c r="F472" s="11">
        <v>3</v>
      </c>
      <c r="H472" s="6">
        <v>308433</v>
      </c>
      <c r="I472" s="1">
        <v>44857</v>
      </c>
      <c r="J472" s="11">
        <v>3</v>
      </c>
    </row>
    <row r="473" spans="4:10" x14ac:dyDescent="0.25">
      <c r="D473" s="6">
        <v>308438</v>
      </c>
      <c r="E473" s="1">
        <v>44663</v>
      </c>
      <c r="F473" s="11">
        <v>1</v>
      </c>
      <c r="H473" s="6">
        <v>308438</v>
      </c>
      <c r="I473" s="1">
        <v>44663</v>
      </c>
      <c r="J473" s="11">
        <v>1</v>
      </c>
    </row>
    <row r="474" spans="4:10" x14ac:dyDescent="0.25">
      <c r="D474" s="6">
        <v>308439</v>
      </c>
      <c r="E474" s="1">
        <v>44631</v>
      </c>
      <c r="F474" s="11">
        <v>1</v>
      </c>
      <c r="H474" s="6">
        <v>308439</v>
      </c>
      <c r="I474" s="1">
        <v>44631</v>
      </c>
      <c r="J474" s="11">
        <v>1</v>
      </c>
    </row>
    <row r="475" spans="4:10" x14ac:dyDescent="0.25">
      <c r="D475" s="6">
        <v>308442</v>
      </c>
      <c r="E475" s="1">
        <v>44601</v>
      </c>
      <c r="F475" s="11">
        <v>5</v>
      </c>
      <c r="H475" s="6">
        <v>308442</v>
      </c>
      <c r="I475" s="1">
        <v>44601</v>
      </c>
      <c r="J475" s="11">
        <v>5</v>
      </c>
    </row>
    <row r="476" spans="4:10" x14ac:dyDescent="0.25">
      <c r="D476" s="6">
        <v>308445</v>
      </c>
      <c r="E476" s="1">
        <v>44632</v>
      </c>
      <c r="F476" s="11">
        <v>4</v>
      </c>
      <c r="H476" s="6">
        <v>308445</v>
      </c>
      <c r="I476" s="1">
        <v>44632</v>
      </c>
      <c r="J476" s="11">
        <v>4</v>
      </c>
    </row>
    <row r="477" spans="4:10" x14ac:dyDescent="0.25">
      <c r="D477" s="6">
        <v>308446</v>
      </c>
      <c r="E477" s="1">
        <v>44698</v>
      </c>
      <c r="F477" s="11">
        <v>1</v>
      </c>
      <c r="H477" s="6">
        <v>308446</v>
      </c>
      <c r="I477" s="1">
        <v>44698</v>
      </c>
      <c r="J477" s="11">
        <v>1</v>
      </c>
    </row>
    <row r="478" spans="4:10" x14ac:dyDescent="0.25">
      <c r="D478" s="6">
        <v>308447</v>
      </c>
      <c r="E478" s="1">
        <v>44694</v>
      </c>
      <c r="F478" s="11">
        <v>5</v>
      </c>
      <c r="H478" s="6">
        <v>308447</v>
      </c>
      <c r="I478" s="1">
        <v>44694</v>
      </c>
      <c r="J478" s="11">
        <v>5</v>
      </c>
    </row>
    <row r="479" spans="4:10" x14ac:dyDescent="0.25">
      <c r="D479" s="6">
        <v>308451</v>
      </c>
      <c r="E479" s="1">
        <v>44696</v>
      </c>
      <c r="F479" s="11">
        <v>2</v>
      </c>
      <c r="H479" s="6">
        <v>308451</v>
      </c>
      <c r="I479" s="1">
        <v>44696</v>
      </c>
      <c r="J479" s="11">
        <v>2</v>
      </c>
    </row>
    <row r="480" spans="4:10" x14ac:dyDescent="0.25">
      <c r="D480" s="6">
        <v>308456</v>
      </c>
      <c r="E480" s="1">
        <v>44854</v>
      </c>
      <c r="F480" s="11">
        <v>6</v>
      </c>
      <c r="H480" s="6">
        <v>308456</v>
      </c>
      <c r="I480" s="1">
        <v>44854</v>
      </c>
      <c r="J480" s="11">
        <v>6</v>
      </c>
    </row>
    <row r="481" spans="4:10" x14ac:dyDescent="0.25">
      <c r="D481" s="6">
        <v>308461</v>
      </c>
      <c r="E481" s="1">
        <v>44737</v>
      </c>
      <c r="F481" s="11">
        <v>3</v>
      </c>
      <c r="H481" s="6">
        <v>308461</v>
      </c>
      <c r="I481" s="1">
        <v>44737</v>
      </c>
      <c r="J481" s="11">
        <v>3</v>
      </c>
    </row>
    <row r="482" spans="4:10" x14ac:dyDescent="0.25">
      <c r="D482" s="6">
        <v>308465</v>
      </c>
      <c r="E482" s="1">
        <v>44709</v>
      </c>
      <c r="F482" s="11">
        <v>2</v>
      </c>
      <c r="H482" s="6">
        <v>308465</v>
      </c>
      <c r="I482" s="1">
        <v>44709</v>
      </c>
      <c r="J482" s="11">
        <v>2</v>
      </c>
    </row>
    <row r="483" spans="4:10" x14ac:dyDescent="0.25">
      <c r="D483" s="6">
        <v>308468</v>
      </c>
      <c r="E483" s="1">
        <v>44699</v>
      </c>
      <c r="F483" s="11">
        <v>4</v>
      </c>
      <c r="H483" s="6">
        <v>308468</v>
      </c>
      <c r="I483" s="1">
        <v>44699</v>
      </c>
      <c r="J483" s="11">
        <v>4</v>
      </c>
    </row>
    <row r="484" spans="4:10" x14ac:dyDescent="0.25">
      <c r="D484" s="6">
        <v>308473</v>
      </c>
      <c r="E484" s="1">
        <v>44833</v>
      </c>
      <c r="F484" s="11">
        <v>5</v>
      </c>
      <c r="H484" s="6">
        <v>308473</v>
      </c>
      <c r="I484" s="1">
        <v>44833</v>
      </c>
      <c r="J484" s="11">
        <v>5</v>
      </c>
    </row>
    <row r="485" spans="4:10" x14ac:dyDescent="0.25">
      <c r="D485" s="6">
        <v>308474</v>
      </c>
      <c r="E485" s="1">
        <v>44589</v>
      </c>
      <c r="F485" s="11">
        <v>4</v>
      </c>
      <c r="H485" s="6">
        <v>308474</v>
      </c>
      <c r="I485" s="1">
        <v>44589</v>
      </c>
      <c r="J485" s="11">
        <v>4</v>
      </c>
    </row>
    <row r="486" spans="4:10" x14ac:dyDescent="0.25">
      <c r="D486" s="6">
        <v>308475</v>
      </c>
      <c r="E486" s="1">
        <v>44761</v>
      </c>
      <c r="F486" s="11">
        <v>3</v>
      </c>
      <c r="H486" s="6">
        <v>308475</v>
      </c>
      <c r="I486" s="1">
        <v>44761</v>
      </c>
      <c r="J486" s="11">
        <v>3</v>
      </c>
    </row>
    <row r="487" spans="4:10" x14ac:dyDescent="0.25">
      <c r="D487" s="6">
        <v>308479</v>
      </c>
      <c r="E487" s="1">
        <v>44761</v>
      </c>
      <c r="F487" s="11">
        <v>6</v>
      </c>
      <c r="H487" s="6">
        <v>308479</v>
      </c>
      <c r="I487" s="1">
        <v>44761</v>
      </c>
      <c r="J487" s="11">
        <v>6</v>
      </c>
    </row>
    <row r="488" spans="4:10" x14ac:dyDescent="0.25">
      <c r="D488" s="6">
        <v>308480</v>
      </c>
      <c r="E488" s="1">
        <v>44688</v>
      </c>
      <c r="F488" s="11">
        <v>4</v>
      </c>
      <c r="H488" s="6">
        <v>308480</v>
      </c>
      <c r="I488" s="1">
        <v>44688</v>
      </c>
      <c r="J488" s="11">
        <v>4</v>
      </c>
    </row>
    <row r="489" spans="4:10" x14ac:dyDescent="0.25">
      <c r="D489" s="6">
        <v>308481</v>
      </c>
      <c r="E489" s="1">
        <v>44855</v>
      </c>
      <c r="F489" s="11">
        <v>5</v>
      </c>
      <c r="H489" s="6">
        <v>308481</v>
      </c>
      <c r="I489" s="1">
        <v>44855</v>
      </c>
      <c r="J489" s="11">
        <v>5</v>
      </c>
    </row>
    <row r="490" spans="4:10" x14ac:dyDescent="0.25">
      <c r="D490" s="6">
        <v>308483</v>
      </c>
      <c r="E490" s="1">
        <v>44790</v>
      </c>
      <c r="F490" s="11">
        <v>4</v>
      </c>
      <c r="H490" s="6">
        <v>308483</v>
      </c>
      <c r="I490" s="1">
        <v>44790</v>
      </c>
      <c r="J490" s="11">
        <v>4</v>
      </c>
    </row>
    <row r="491" spans="4:10" x14ac:dyDescent="0.25">
      <c r="D491" s="6">
        <v>308488</v>
      </c>
      <c r="E491" s="1">
        <v>44600</v>
      </c>
      <c r="F491" s="11">
        <v>5</v>
      </c>
      <c r="H491" s="6">
        <v>308488</v>
      </c>
      <c r="I491" s="1">
        <v>44600</v>
      </c>
      <c r="J491" s="11">
        <v>5</v>
      </c>
    </row>
    <row r="492" spans="4:10" x14ac:dyDescent="0.25">
      <c r="D492" s="6">
        <v>308493</v>
      </c>
      <c r="E492" s="1">
        <v>44574</v>
      </c>
      <c r="F492" s="11">
        <v>2</v>
      </c>
      <c r="H492" s="6">
        <v>308493</v>
      </c>
      <c r="I492" s="1">
        <v>44574</v>
      </c>
      <c r="J492" s="11">
        <v>2</v>
      </c>
    </row>
    <row r="493" spans="4:10" x14ac:dyDescent="0.25">
      <c r="D493" s="6">
        <v>308496</v>
      </c>
      <c r="E493" s="1">
        <v>44681</v>
      </c>
      <c r="F493" s="11">
        <v>1</v>
      </c>
      <c r="H493" s="6">
        <v>308496</v>
      </c>
      <c r="I493" s="1">
        <v>44681</v>
      </c>
      <c r="J493" s="11">
        <v>1</v>
      </c>
    </row>
    <row r="494" spans="4:10" x14ac:dyDescent="0.25">
      <c r="D494" s="6">
        <v>308497</v>
      </c>
      <c r="E494" s="1">
        <v>44813</v>
      </c>
      <c r="F494" s="11">
        <v>1</v>
      </c>
      <c r="H494" s="6">
        <v>308497</v>
      </c>
      <c r="I494" s="1">
        <v>44813</v>
      </c>
      <c r="J494" s="11">
        <v>1</v>
      </c>
    </row>
    <row r="495" spans="4:10" x14ac:dyDescent="0.25">
      <c r="D495" s="6">
        <v>308498</v>
      </c>
      <c r="E495" s="1">
        <v>44783</v>
      </c>
      <c r="F495" s="11">
        <v>5</v>
      </c>
      <c r="H495" s="6">
        <v>308498</v>
      </c>
      <c r="I495" s="1">
        <v>44783</v>
      </c>
      <c r="J495" s="11">
        <v>5</v>
      </c>
    </row>
    <row r="496" spans="4:10" x14ac:dyDescent="0.25">
      <c r="D496" s="6">
        <v>308502</v>
      </c>
      <c r="E496" s="1">
        <v>44656</v>
      </c>
      <c r="F496" s="11">
        <v>1</v>
      </c>
      <c r="H496" s="6">
        <v>308502</v>
      </c>
      <c r="I496" s="1">
        <v>44656</v>
      </c>
      <c r="J496" s="11">
        <v>1</v>
      </c>
    </row>
    <row r="497" spans="4:10" x14ac:dyDescent="0.25">
      <c r="D497" s="6">
        <v>308506</v>
      </c>
      <c r="E497" s="1">
        <v>44715</v>
      </c>
      <c r="F497" s="11">
        <v>2</v>
      </c>
      <c r="H497" s="6">
        <v>308506</v>
      </c>
      <c r="I497" s="1">
        <v>44715</v>
      </c>
      <c r="J497" s="11">
        <v>2</v>
      </c>
    </row>
    <row r="498" spans="4:10" x14ac:dyDescent="0.25">
      <c r="D498" s="6">
        <v>308510</v>
      </c>
      <c r="E498" s="1">
        <v>44564</v>
      </c>
      <c r="F498" s="11">
        <v>3</v>
      </c>
      <c r="H498" s="6">
        <v>308510</v>
      </c>
      <c r="I498" s="1">
        <v>44564</v>
      </c>
      <c r="J498" s="11">
        <v>3</v>
      </c>
    </row>
    <row r="499" spans="4:10" x14ac:dyDescent="0.25">
      <c r="D499" s="6">
        <v>308513</v>
      </c>
      <c r="E499" s="1">
        <v>44820</v>
      </c>
      <c r="F499" s="11">
        <v>3</v>
      </c>
      <c r="H499" s="6">
        <v>308513</v>
      </c>
      <c r="I499" s="1">
        <v>44820</v>
      </c>
      <c r="J499" s="11">
        <v>3</v>
      </c>
    </row>
    <row r="500" spans="4:10" x14ac:dyDescent="0.25">
      <c r="D500" s="6">
        <v>308514</v>
      </c>
      <c r="E500" s="1">
        <v>44604</v>
      </c>
      <c r="F500" s="11">
        <v>4</v>
      </c>
      <c r="H500" s="6">
        <v>308514</v>
      </c>
      <c r="I500" s="1">
        <v>44604</v>
      </c>
      <c r="J500" s="11">
        <v>4</v>
      </c>
    </row>
    <row r="501" spans="4:10" x14ac:dyDescent="0.25">
      <c r="D501" s="6">
        <v>308515</v>
      </c>
      <c r="E501" s="1">
        <v>44581</v>
      </c>
      <c r="F501" s="11">
        <v>6</v>
      </c>
      <c r="H501" s="6">
        <v>308515</v>
      </c>
      <c r="I501" s="1">
        <v>44581</v>
      </c>
      <c r="J501" s="11">
        <v>6</v>
      </c>
    </row>
    <row r="502" spans="4:10" x14ac:dyDescent="0.25">
      <c r="D502" s="6">
        <v>308520</v>
      </c>
      <c r="E502" s="1">
        <v>44776</v>
      </c>
      <c r="F502" s="11">
        <v>1</v>
      </c>
      <c r="H502" s="6">
        <v>308520</v>
      </c>
      <c r="I502" s="1">
        <v>44776</v>
      </c>
      <c r="J502" s="11">
        <v>1</v>
      </c>
    </row>
    <row r="503" spans="4:10" x14ac:dyDescent="0.25">
      <c r="D503" s="6">
        <v>308524</v>
      </c>
      <c r="E503" s="1">
        <v>44729</v>
      </c>
      <c r="F503" s="11">
        <v>5</v>
      </c>
      <c r="H503" s="6">
        <v>308524</v>
      </c>
      <c r="I503" s="1">
        <v>44729</v>
      </c>
      <c r="J503" s="11">
        <v>5</v>
      </c>
    </row>
    <row r="504" spans="4:10" x14ac:dyDescent="0.25">
      <c r="D504" s="6">
        <v>308525</v>
      </c>
      <c r="E504" s="1">
        <v>44834</v>
      </c>
      <c r="F504" s="11">
        <v>1</v>
      </c>
      <c r="H504" s="6">
        <v>308525</v>
      </c>
      <c r="I504" s="1">
        <v>44834</v>
      </c>
      <c r="J504" s="11">
        <v>1</v>
      </c>
    </row>
    <row r="505" spans="4:10" x14ac:dyDescent="0.25">
      <c r="D505" s="6">
        <v>308526</v>
      </c>
      <c r="E505" s="1">
        <v>44586</v>
      </c>
      <c r="F505" s="11">
        <v>2</v>
      </c>
      <c r="H505" s="6">
        <v>308526</v>
      </c>
      <c r="I505" s="1">
        <v>44586</v>
      </c>
      <c r="J505" s="11">
        <v>2</v>
      </c>
    </row>
    <row r="506" spans="4:10" x14ac:dyDescent="0.25">
      <c r="D506" s="6">
        <v>308531</v>
      </c>
      <c r="E506" s="1">
        <v>44578</v>
      </c>
      <c r="F506" s="11">
        <v>2</v>
      </c>
      <c r="H506" s="6">
        <v>308531</v>
      </c>
      <c r="I506" s="1">
        <v>44578</v>
      </c>
      <c r="J506" s="11">
        <v>2</v>
      </c>
    </row>
    <row r="507" spans="4:10" x14ac:dyDescent="0.25">
      <c r="D507" s="6">
        <v>308534</v>
      </c>
      <c r="E507" s="1">
        <v>44812</v>
      </c>
      <c r="F507" s="11">
        <v>5</v>
      </c>
      <c r="H507" s="6">
        <v>308534</v>
      </c>
      <c r="I507" s="1">
        <v>44812</v>
      </c>
      <c r="J507" s="11">
        <v>5</v>
      </c>
    </row>
    <row r="508" spans="4:10" x14ac:dyDescent="0.25">
      <c r="D508" s="6">
        <v>308536</v>
      </c>
      <c r="E508" s="1">
        <v>44755</v>
      </c>
      <c r="F508" s="11">
        <v>4</v>
      </c>
      <c r="H508" s="6">
        <v>308536</v>
      </c>
      <c r="I508" s="1">
        <v>44755</v>
      </c>
      <c r="J508" s="11">
        <v>4</v>
      </c>
    </row>
    <row r="509" spans="4:10" x14ac:dyDescent="0.25">
      <c r="D509" s="6">
        <v>308540</v>
      </c>
      <c r="E509" s="1">
        <v>44595</v>
      </c>
      <c r="F509" s="11">
        <v>2</v>
      </c>
      <c r="H509" s="6">
        <v>308540</v>
      </c>
      <c r="I509" s="1">
        <v>44595</v>
      </c>
      <c r="J509" s="11">
        <v>2</v>
      </c>
    </row>
    <row r="510" spans="4:10" x14ac:dyDescent="0.25">
      <c r="D510" s="6">
        <v>308545</v>
      </c>
      <c r="E510" s="1">
        <v>44619</v>
      </c>
      <c r="F510" s="11">
        <v>1</v>
      </c>
      <c r="H510" s="6">
        <v>308545</v>
      </c>
      <c r="I510" s="1">
        <v>44619</v>
      </c>
      <c r="J510" s="11">
        <v>1</v>
      </c>
    </row>
    <row r="511" spans="4:10" x14ac:dyDescent="0.25">
      <c r="D511" s="6">
        <v>308549</v>
      </c>
      <c r="E511" s="1">
        <v>44618</v>
      </c>
      <c r="F511" s="11">
        <v>1</v>
      </c>
      <c r="H511" s="6">
        <v>308549</v>
      </c>
      <c r="I511" s="1">
        <v>44618</v>
      </c>
      <c r="J511" s="11">
        <v>1</v>
      </c>
    </row>
    <row r="512" spans="4:10" x14ac:dyDescent="0.25">
      <c r="D512" s="6">
        <v>308551</v>
      </c>
      <c r="E512" s="1">
        <v>44809</v>
      </c>
      <c r="F512" s="11">
        <v>5</v>
      </c>
      <c r="H512" s="6">
        <v>308551</v>
      </c>
      <c r="I512" s="1">
        <v>44809</v>
      </c>
      <c r="J512" s="11">
        <v>5</v>
      </c>
    </row>
    <row r="513" spans="4:10" x14ac:dyDescent="0.25">
      <c r="D513" s="6">
        <v>308555</v>
      </c>
      <c r="E513" s="1">
        <v>44848</v>
      </c>
      <c r="F513" s="11">
        <v>1</v>
      </c>
      <c r="H513" s="6">
        <v>308555</v>
      </c>
      <c r="I513" s="1">
        <v>44848</v>
      </c>
      <c r="J513" s="11">
        <v>1</v>
      </c>
    </row>
    <row r="514" spans="4:10" x14ac:dyDescent="0.25">
      <c r="D514" s="6">
        <v>308559</v>
      </c>
      <c r="E514" s="1">
        <v>44572</v>
      </c>
      <c r="F514" s="11">
        <v>1</v>
      </c>
      <c r="H514" s="6">
        <v>308559</v>
      </c>
      <c r="I514" s="1">
        <v>44572</v>
      </c>
      <c r="J514" s="11">
        <v>1</v>
      </c>
    </row>
    <row r="515" spans="4:10" x14ac:dyDescent="0.25">
      <c r="D515" s="6">
        <v>308564</v>
      </c>
      <c r="E515" s="1">
        <v>44813</v>
      </c>
      <c r="F515" s="11">
        <v>7</v>
      </c>
      <c r="H515" s="6">
        <v>308564</v>
      </c>
      <c r="I515" s="1">
        <v>44813</v>
      </c>
      <c r="J515" s="11">
        <v>7</v>
      </c>
    </row>
    <row r="516" spans="4:10" x14ac:dyDescent="0.25">
      <c r="D516" s="6">
        <v>308565</v>
      </c>
      <c r="E516" s="1">
        <v>44847</v>
      </c>
      <c r="F516" s="11">
        <v>1</v>
      </c>
      <c r="H516" s="6">
        <v>308565</v>
      </c>
      <c r="I516" s="1">
        <v>44847</v>
      </c>
      <c r="J516" s="11">
        <v>1</v>
      </c>
    </row>
    <row r="517" spans="4:10" x14ac:dyDescent="0.25">
      <c r="D517" s="6">
        <v>308569</v>
      </c>
      <c r="E517" s="1">
        <v>44737</v>
      </c>
      <c r="F517" s="11">
        <v>1</v>
      </c>
      <c r="H517" s="6">
        <v>308569</v>
      </c>
      <c r="I517" s="1">
        <v>44737</v>
      </c>
      <c r="J517" s="11">
        <v>1</v>
      </c>
    </row>
    <row r="518" spans="4:10" x14ac:dyDescent="0.25">
      <c r="D518" s="6">
        <v>308572</v>
      </c>
      <c r="E518" s="1">
        <v>44712</v>
      </c>
      <c r="F518" s="11">
        <v>1</v>
      </c>
      <c r="H518" s="6">
        <v>308572</v>
      </c>
      <c r="I518" s="1">
        <v>44712</v>
      </c>
      <c r="J518" s="11">
        <v>1</v>
      </c>
    </row>
    <row r="519" spans="4:10" x14ac:dyDescent="0.25">
      <c r="D519" s="6">
        <v>308576</v>
      </c>
      <c r="E519" s="1">
        <v>44847</v>
      </c>
      <c r="F519" s="11">
        <v>3</v>
      </c>
      <c r="H519" s="6">
        <v>308576</v>
      </c>
      <c r="I519" s="1">
        <v>44847</v>
      </c>
      <c r="J519" s="11">
        <v>3</v>
      </c>
    </row>
    <row r="520" spans="4:10" x14ac:dyDescent="0.25">
      <c r="D520" s="6">
        <v>308579</v>
      </c>
      <c r="E520" s="1">
        <v>44584</v>
      </c>
      <c r="F520" s="11">
        <v>1</v>
      </c>
      <c r="H520" s="6">
        <v>308579</v>
      </c>
      <c r="I520" s="1">
        <v>44584</v>
      </c>
      <c r="J520" s="11">
        <v>1</v>
      </c>
    </row>
    <row r="521" spans="4:10" x14ac:dyDescent="0.25">
      <c r="D521" s="6">
        <v>308582</v>
      </c>
      <c r="E521" s="1">
        <v>44826</v>
      </c>
      <c r="F521" s="11">
        <v>3</v>
      </c>
      <c r="H521" s="6">
        <v>308582</v>
      </c>
      <c r="I521" s="1">
        <v>44826</v>
      </c>
      <c r="J521" s="11">
        <v>3</v>
      </c>
    </row>
    <row r="522" spans="4:10" x14ac:dyDescent="0.25">
      <c r="D522" s="6">
        <v>308585</v>
      </c>
      <c r="E522" s="1">
        <v>44688</v>
      </c>
      <c r="F522" s="11">
        <v>2</v>
      </c>
      <c r="H522" s="6">
        <v>308585</v>
      </c>
      <c r="I522" s="1">
        <v>44688</v>
      </c>
      <c r="J522" s="11">
        <v>2</v>
      </c>
    </row>
    <row r="523" spans="4:10" x14ac:dyDescent="0.25">
      <c r="D523" s="6">
        <v>308589</v>
      </c>
      <c r="E523" s="1">
        <v>44744</v>
      </c>
      <c r="F523" s="11">
        <v>2</v>
      </c>
      <c r="H523" s="6">
        <v>308589</v>
      </c>
      <c r="I523" s="1">
        <v>44744</v>
      </c>
      <c r="J523" s="11">
        <v>2</v>
      </c>
    </row>
    <row r="524" spans="4:10" x14ac:dyDescent="0.25">
      <c r="D524" s="6">
        <v>308594</v>
      </c>
      <c r="E524" s="1">
        <v>44721</v>
      </c>
      <c r="F524" s="11">
        <v>2</v>
      </c>
      <c r="H524" s="6">
        <v>308594</v>
      </c>
      <c r="I524" s="1">
        <v>44721</v>
      </c>
      <c r="J524" s="11">
        <v>2</v>
      </c>
    </row>
    <row r="525" spans="4:10" x14ac:dyDescent="0.25">
      <c r="D525" s="6">
        <v>308599</v>
      </c>
      <c r="E525" s="1">
        <v>44602</v>
      </c>
      <c r="F525" s="11">
        <v>2</v>
      </c>
      <c r="H525" s="6">
        <v>308599</v>
      </c>
      <c r="I525" s="1">
        <v>44602</v>
      </c>
      <c r="J525" s="11">
        <v>2</v>
      </c>
    </row>
    <row r="526" spans="4:10" x14ac:dyDescent="0.25">
      <c r="D526" s="6">
        <v>308603</v>
      </c>
      <c r="E526" s="1">
        <v>44822</v>
      </c>
      <c r="F526" s="11">
        <v>1</v>
      </c>
      <c r="H526" s="6">
        <v>308603</v>
      </c>
      <c r="I526" s="1">
        <v>44822</v>
      </c>
      <c r="J526" s="11">
        <v>1</v>
      </c>
    </row>
    <row r="527" spans="4:10" x14ac:dyDescent="0.25">
      <c r="D527" s="6">
        <v>308605</v>
      </c>
      <c r="E527" s="1">
        <v>44576</v>
      </c>
      <c r="F527" s="11">
        <v>1</v>
      </c>
      <c r="H527" s="6">
        <v>308605</v>
      </c>
      <c r="I527" s="1">
        <v>44576</v>
      </c>
      <c r="J527" s="11">
        <v>1</v>
      </c>
    </row>
    <row r="528" spans="4:10" x14ac:dyDescent="0.25">
      <c r="D528" s="6">
        <v>308608</v>
      </c>
      <c r="E528" s="1">
        <v>44759</v>
      </c>
      <c r="F528" s="11">
        <v>1</v>
      </c>
      <c r="H528" s="6">
        <v>308608</v>
      </c>
      <c r="I528" s="1">
        <v>44759</v>
      </c>
      <c r="J528" s="11">
        <v>1</v>
      </c>
    </row>
    <row r="529" spans="4:10" x14ac:dyDescent="0.25">
      <c r="D529" s="6">
        <v>308612</v>
      </c>
      <c r="E529" s="1">
        <v>44747</v>
      </c>
      <c r="F529" s="11">
        <v>5</v>
      </c>
      <c r="H529" s="6">
        <v>308612</v>
      </c>
      <c r="I529" s="1">
        <v>44747</v>
      </c>
      <c r="J529" s="11">
        <v>5</v>
      </c>
    </row>
    <row r="530" spans="4:10" x14ac:dyDescent="0.25">
      <c r="D530" s="6">
        <v>308616</v>
      </c>
      <c r="E530" s="1">
        <v>44630</v>
      </c>
      <c r="F530" s="11">
        <v>4</v>
      </c>
      <c r="H530" s="6">
        <v>308616</v>
      </c>
      <c r="I530" s="1">
        <v>44630</v>
      </c>
      <c r="J530" s="11">
        <v>4</v>
      </c>
    </row>
    <row r="531" spans="4:10" x14ac:dyDescent="0.25">
      <c r="D531" s="6">
        <v>308621</v>
      </c>
      <c r="E531" s="1">
        <v>44739</v>
      </c>
      <c r="F531" s="11">
        <v>6</v>
      </c>
      <c r="H531" s="6">
        <v>308621</v>
      </c>
      <c r="I531" s="1">
        <v>44739</v>
      </c>
      <c r="J531" s="11">
        <v>6</v>
      </c>
    </row>
    <row r="532" spans="4:10" x14ac:dyDescent="0.25">
      <c r="D532" s="6">
        <v>308623</v>
      </c>
      <c r="E532" s="1">
        <v>44617</v>
      </c>
      <c r="F532" s="11">
        <v>3</v>
      </c>
      <c r="H532" s="6">
        <v>308623</v>
      </c>
      <c r="I532" s="1">
        <v>44617</v>
      </c>
      <c r="J532" s="11">
        <v>3</v>
      </c>
    </row>
    <row r="533" spans="4:10" x14ac:dyDescent="0.25">
      <c r="D533" s="6">
        <v>308625</v>
      </c>
      <c r="E533" s="1">
        <v>44658</v>
      </c>
      <c r="F533" s="11">
        <v>7</v>
      </c>
      <c r="H533" s="6">
        <v>308625</v>
      </c>
      <c r="I533" s="1">
        <v>44658</v>
      </c>
      <c r="J533" s="11">
        <v>7</v>
      </c>
    </row>
    <row r="534" spans="4:10" x14ac:dyDescent="0.25">
      <c r="D534" s="6">
        <v>308626</v>
      </c>
      <c r="E534" s="1">
        <v>44716</v>
      </c>
      <c r="F534" s="11">
        <v>7</v>
      </c>
      <c r="H534" s="6">
        <v>308626</v>
      </c>
      <c r="I534" s="1">
        <v>44716</v>
      </c>
      <c r="J534" s="11">
        <v>7</v>
      </c>
    </row>
    <row r="535" spans="4:10" x14ac:dyDescent="0.25">
      <c r="D535" s="6">
        <v>308629</v>
      </c>
      <c r="E535" s="1">
        <v>44784</v>
      </c>
      <c r="F535" s="11">
        <v>1</v>
      </c>
      <c r="H535" s="6">
        <v>308629</v>
      </c>
      <c r="I535" s="1">
        <v>44784</v>
      </c>
      <c r="J535" s="11">
        <v>1</v>
      </c>
    </row>
    <row r="536" spans="4:10" x14ac:dyDescent="0.25">
      <c r="D536" s="6">
        <v>308630</v>
      </c>
      <c r="E536" s="1">
        <v>44626</v>
      </c>
      <c r="F536" s="11">
        <v>4</v>
      </c>
      <c r="H536" s="6">
        <v>308630</v>
      </c>
      <c r="I536" s="1">
        <v>44626</v>
      </c>
      <c r="J536" s="11">
        <v>4</v>
      </c>
    </row>
    <row r="537" spans="4:10" x14ac:dyDescent="0.25">
      <c r="D537" s="6">
        <v>308633</v>
      </c>
      <c r="E537" s="1">
        <v>44776</v>
      </c>
      <c r="F537" s="11">
        <v>2</v>
      </c>
      <c r="H537" s="6">
        <v>308633</v>
      </c>
      <c r="I537" s="1">
        <v>44776</v>
      </c>
      <c r="J537" s="11">
        <v>2</v>
      </c>
    </row>
    <row r="538" spans="4:10" x14ac:dyDescent="0.25">
      <c r="D538" s="6">
        <v>308634</v>
      </c>
      <c r="E538" s="1">
        <v>44847</v>
      </c>
      <c r="F538" s="11">
        <v>1</v>
      </c>
      <c r="H538" s="6">
        <v>308634</v>
      </c>
      <c r="I538" s="1">
        <v>44847</v>
      </c>
      <c r="J538" s="11">
        <v>1</v>
      </c>
    </row>
    <row r="539" spans="4:10" x14ac:dyDescent="0.25">
      <c r="D539" s="6">
        <v>308635</v>
      </c>
      <c r="E539" s="1">
        <v>44658</v>
      </c>
      <c r="F539" s="11">
        <v>6</v>
      </c>
      <c r="H539" s="6">
        <v>308635</v>
      </c>
      <c r="I539" s="1">
        <v>44658</v>
      </c>
      <c r="J539" s="11">
        <v>6</v>
      </c>
    </row>
    <row r="540" spans="4:10" x14ac:dyDescent="0.25">
      <c r="D540" s="6">
        <v>308636</v>
      </c>
      <c r="E540" s="1">
        <v>44817</v>
      </c>
      <c r="F540" s="11">
        <v>3</v>
      </c>
      <c r="H540" s="6">
        <v>308636</v>
      </c>
      <c r="I540" s="1">
        <v>44817</v>
      </c>
      <c r="J540" s="11">
        <v>3</v>
      </c>
    </row>
    <row r="541" spans="4:10" x14ac:dyDescent="0.25">
      <c r="D541" s="6">
        <v>308641</v>
      </c>
      <c r="E541" s="1">
        <v>44627</v>
      </c>
      <c r="F541" s="11">
        <v>2</v>
      </c>
      <c r="H541" s="6">
        <v>308641</v>
      </c>
      <c r="I541" s="1">
        <v>44627</v>
      </c>
      <c r="J541" s="11">
        <v>2</v>
      </c>
    </row>
    <row r="542" spans="4:10" x14ac:dyDescent="0.25">
      <c r="D542" s="6">
        <v>308642</v>
      </c>
      <c r="E542" s="1">
        <v>44631</v>
      </c>
      <c r="F542" s="11">
        <v>5</v>
      </c>
      <c r="H542" s="6">
        <v>308642</v>
      </c>
      <c r="I542" s="1">
        <v>44631</v>
      </c>
      <c r="J542" s="11">
        <v>5</v>
      </c>
    </row>
    <row r="543" spans="4:10" x14ac:dyDescent="0.25">
      <c r="D543" s="6">
        <v>308643</v>
      </c>
      <c r="E543" s="1">
        <v>44838</v>
      </c>
      <c r="F543" s="11">
        <v>3</v>
      </c>
      <c r="H543" s="6">
        <v>308643</v>
      </c>
      <c r="I543" s="1">
        <v>44838</v>
      </c>
      <c r="J543" s="11">
        <v>3</v>
      </c>
    </row>
    <row r="544" spans="4:10" x14ac:dyDescent="0.25">
      <c r="D544" s="6">
        <v>308648</v>
      </c>
      <c r="E544" s="1">
        <v>44638</v>
      </c>
      <c r="F544" s="11">
        <v>1</v>
      </c>
      <c r="H544" s="6">
        <v>308648</v>
      </c>
      <c r="I544" s="1">
        <v>44638</v>
      </c>
      <c r="J544" s="11">
        <v>1</v>
      </c>
    </row>
    <row r="545" spans="4:10" x14ac:dyDescent="0.25">
      <c r="D545" s="6">
        <v>308650</v>
      </c>
      <c r="E545" s="1">
        <v>44703</v>
      </c>
      <c r="F545" s="11">
        <v>1</v>
      </c>
      <c r="H545" s="6">
        <v>308650</v>
      </c>
      <c r="I545" s="1">
        <v>44703</v>
      </c>
      <c r="J545" s="11">
        <v>1</v>
      </c>
    </row>
    <row r="546" spans="4:10" x14ac:dyDescent="0.25">
      <c r="D546" s="6">
        <v>308654</v>
      </c>
      <c r="E546" s="1">
        <v>44671</v>
      </c>
      <c r="F546" s="11">
        <v>2</v>
      </c>
      <c r="H546" s="6">
        <v>308654</v>
      </c>
      <c r="I546" s="1">
        <v>44671</v>
      </c>
      <c r="J546" s="11">
        <v>2</v>
      </c>
    </row>
    <row r="547" spans="4:10" x14ac:dyDescent="0.25">
      <c r="D547" s="6">
        <v>308659</v>
      </c>
      <c r="E547" s="1">
        <v>44626</v>
      </c>
      <c r="F547" s="11">
        <v>1</v>
      </c>
      <c r="H547" s="6">
        <v>308659</v>
      </c>
      <c r="I547" s="1">
        <v>44626</v>
      </c>
      <c r="J547" s="11">
        <v>1</v>
      </c>
    </row>
    <row r="548" spans="4:10" x14ac:dyDescent="0.25">
      <c r="D548" s="6">
        <v>308664</v>
      </c>
      <c r="E548" s="1">
        <v>44839</v>
      </c>
      <c r="F548" s="11">
        <v>7</v>
      </c>
      <c r="H548" s="6">
        <v>308664</v>
      </c>
      <c r="I548" s="1">
        <v>44839</v>
      </c>
      <c r="J548" s="11">
        <v>7</v>
      </c>
    </row>
    <row r="549" spans="4:10" x14ac:dyDescent="0.25">
      <c r="D549" s="6">
        <v>308668</v>
      </c>
      <c r="E549" s="1">
        <v>44638</v>
      </c>
      <c r="F549" s="11">
        <v>2</v>
      </c>
      <c r="H549" s="6">
        <v>308668</v>
      </c>
      <c r="I549" s="1">
        <v>44638</v>
      </c>
      <c r="J549" s="11">
        <v>2</v>
      </c>
    </row>
    <row r="550" spans="4:10" x14ac:dyDescent="0.25">
      <c r="D550" s="6">
        <v>308672</v>
      </c>
      <c r="E550" s="1">
        <v>44675</v>
      </c>
      <c r="F550" s="11">
        <v>7</v>
      </c>
      <c r="H550" s="6">
        <v>308672</v>
      </c>
      <c r="I550" s="1">
        <v>44675</v>
      </c>
      <c r="J550" s="11">
        <v>7</v>
      </c>
    </row>
    <row r="551" spans="4:10" x14ac:dyDescent="0.25">
      <c r="D551" s="6">
        <v>308677</v>
      </c>
      <c r="E551" s="1">
        <v>44800</v>
      </c>
      <c r="F551" s="11">
        <v>4</v>
      </c>
      <c r="H551" s="6">
        <v>308677</v>
      </c>
      <c r="I551" s="1">
        <v>44800</v>
      </c>
      <c r="J551" s="11">
        <v>4</v>
      </c>
    </row>
    <row r="552" spans="4:10" x14ac:dyDescent="0.25">
      <c r="D552" s="6">
        <v>308680</v>
      </c>
      <c r="E552" s="1">
        <v>44835</v>
      </c>
      <c r="F552" s="11">
        <v>2</v>
      </c>
      <c r="H552" s="6">
        <v>308680</v>
      </c>
      <c r="I552" s="1">
        <v>44835</v>
      </c>
      <c r="J552" s="11">
        <v>2</v>
      </c>
    </row>
    <row r="553" spans="4:10" x14ac:dyDescent="0.25">
      <c r="D553" s="6">
        <v>308682</v>
      </c>
      <c r="E553" s="1">
        <v>44859</v>
      </c>
      <c r="F553" s="11">
        <v>3</v>
      </c>
      <c r="H553" s="6">
        <v>308682</v>
      </c>
      <c r="I553" s="1">
        <v>44859</v>
      </c>
      <c r="J553" s="11">
        <v>3</v>
      </c>
    </row>
    <row r="554" spans="4:10" x14ac:dyDescent="0.25">
      <c r="D554" s="6">
        <v>308687</v>
      </c>
      <c r="E554" s="1">
        <v>44800</v>
      </c>
      <c r="F554" s="11">
        <v>5</v>
      </c>
      <c r="H554" s="6">
        <v>308687</v>
      </c>
      <c r="I554" s="1">
        <v>44800</v>
      </c>
      <c r="J554" s="11">
        <v>5</v>
      </c>
    </row>
    <row r="555" spans="4:10" x14ac:dyDescent="0.25">
      <c r="D555" s="6">
        <v>308688</v>
      </c>
      <c r="E555" s="1">
        <v>44850</v>
      </c>
      <c r="F555" s="11">
        <v>3</v>
      </c>
      <c r="H555" s="6">
        <v>308688</v>
      </c>
      <c r="I555" s="1">
        <v>44850</v>
      </c>
      <c r="J555" s="11">
        <v>3</v>
      </c>
    </row>
    <row r="556" spans="4:10" x14ac:dyDescent="0.25">
      <c r="D556" s="6">
        <v>308691</v>
      </c>
      <c r="E556" s="1">
        <v>44710</v>
      </c>
      <c r="F556" s="11">
        <v>4</v>
      </c>
      <c r="H556" s="6">
        <v>308691</v>
      </c>
      <c r="I556" s="1">
        <v>44710</v>
      </c>
      <c r="J556" s="11">
        <v>4</v>
      </c>
    </row>
    <row r="557" spans="4:10" x14ac:dyDescent="0.25">
      <c r="D557" s="6">
        <v>308696</v>
      </c>
      <c r="E557" s="1">
        <v>44755</v>
      </c>
      <c r="F557" s="11">
        <v>2</v>
      </c>
      <c r="H557" s="6">
        <v>308696</v>
      </c>
      <c r="I557" s="1">
        <v>44755</v>
      </c>
      <c r="J557" s="11">
        <v>2</v>
      </c>
    </row>
    <row r="558" spans="4:10" x14ac:dyDescent="0.25">
      <c r="D558" s="6">
        <v>308700</v>
      </c>
      <c r="E558" s="1">
        <v>44833</v>
      </c>
      <c r="F558" s="11">
        <v>1</v>
      </c>
      <c r="H558" s="6">
        <v>308700</v>
      </c>
      <c r="I558" s="1">
        <v>44833</v>
      </c>
      <c r="J558" s="11">
        <v>1</v>
      </c>
    </row>
    <row r="559" spans="4:10" x14ac:dyDescent="0.25">
      <c r="D559" s="6">
        <v>308703</v>
      </c>
      <c r="E559" s="1">
        <v>44769</v>
      </c>
      <c r="F559" s="11">
        <v>3</v>
      </c>
      <c r="H559" s="6">
        <v>308703</v>
      </c>
      <c r="I559" s="1">
        <v>44769</v>
      </c>
      <c r="J559" s="11">
        <v>3</v>
      </c>
    </row>
    <row r="560" spans="4:10" x14ac:dyDescent="0.25">
      <c r="D560" s="6">
        <v>308706</v>
      </c>
      <c r="E560" s="1">
        <v>44648</v>
      </c>
      <c r="F560" s="11">
        <v>4</v>
      </c>
      <c r="H560" s="6">
        <v>308706</v>
      </c>
      <c r="I560" s="1">
        <v>44648</v>
      </c>
      <c r="J560" s="11">
        <v>4</v>
      </c>
    </row>
    <row r="561" spans="4:10" x14ac:dyDescent="0.25">
      <c r="D561" s="6">
        <v>308710</v>
      </c>
      <c r="E561" s="1">
        <v>44743</v>
      </c>
      <c r="F561" s="11">
        <v>2</v>
      </c>
      <c r="H561" s="6">
        <v>308710</v>
      </c>
      <c r="I561" s="1">
        <v>44743</v>
      </c>
      <c r="J561" s="11">
        <v>2</v>
      </c>
    </row>
    <row r="562" spans="4:10" x14ac:dyDescent="0.25">
      <c r="D562" s="6">
        <v>308713</v>
      </c>
      <c r="E562" s="1">
        <v>44801</v>
      </c>
      <c r="F562" s="11">
        <v>1</v>
      </c>
      <c r="H562" s="6">
        <v>308713</v>
      </c>
      <c r="I562" s="1">
        <v>44801</v>
      </c>
      <c r="J562" s="11">
        <v>1</v>
      </c>
    </row>
    <row r="563" spans="4:10" x14ac:dyDescent="0.25">
      <c r="D563" s="6">
        <v>308717</v>
      </c>
      <c r="E563" s="1">
        <v>44832</v>
      </c>
      <c r="F563" s="11">
        <v>4</v>
      </c>
      <c r="H563" s="6">
        <v>308717</v>
      </c>
      <c r="I563" s="1">
        <v>44832</v>
      </c>
      <c r="J563" s="11">
        <v>4</v>
      </c>
    </row>
    <row r="564" spans="4:10" x14ac:dyDescent="0.25">
      <c r="D564" s="6">
        <v>308718</v>
      </c>
      <c r="E564" s="1">
        <v>44637</v>
      </c>
      <c r="F564" s="11">
        <v>2</v>
      </c>
      <c r="H564" s="6">
        <v>308718</v>
      </c>
      <c r="I564" s="1">
        <v>44637</v>
      </c>
      <c r="J564" s="11">
        <v>2</v>
      </c>
    </row>
    <row r="565" spans="4:10" x14ac:dyDescent="0.25">
      <c r="D565" s="6">
        <v>308723</v>
      </c>
      <c r="E565" s="1">
        <v>44818</v>
      </c>
      <c r="F565" s="11">
        <v>3</v>
      </c>
      <c r="H565" s="6">
        <v>308723</v>
      </c>
      <c r="I565" s="1">
        <v>44818</v>
      </c>
      <c r="J565" s="11">
        <v>3</v>
      </c>
    </row>
    <row r="566" spans="4:10" x14ac:dyDescent="0.25">
      <c r="D566" s="6">
        <v>308725</v>
      </c>
      <c r="E566" s="1">
        <v>44659</v>
      </c>
      <c r="F566" s="11">
        <v>5</v>
      </c>
      <c r="H566" s="6">
        <v>308725</v>
      </c>
      <c r="I566" s="1">
        <v>44659</v>
      </c>
      <c r="J566" s="11">
        <v>5</v>
      </c>
    </row>
    <row r="567" spans="4:10" x14ac:dyDescent="0.25">
      <c r="D567" s="6">
        <v>308726</v>
      </c>
      <c r="E567" s="1">
        <v>44564</v>
      </c>
      <c r="F567" s="11">
        <v>2</v>
      </c>
      <c r="H567" s="6">
        <v>308726</v>
      </c>
      <c r="I567" s="1">
        <v>44564</v>
      </c>
      <c r="J567" s="11">
        <v>2</v>
      </c>
    </row>
    <row r="568" spans="4:10" x14ac:dyDescent="0.25">
      <c r="D568" s="6">
        <v>308728</v>
      </c>
      <c r="E568" s="1">
        <v>44803</v>
      </c>
      <c r="F568" s="11">
        <v>2</v>
      </c>
      <c r="H568" s="6">
        <v>308728</v>
      </c>
      <c r="I568" s="1">
        <v>44803</v>
      </c>
      <c r="J568" s="11">
        <v>2</v>
      </c>
    </row>
    <row r="569" spans="4:10" x14ac:dyDescent="0.25">
      <c r="D569" s="6">
        <v>308731</v>
      </c>
      <c r="E569" s="1">
        <v>44823</v>
      </c>
      <c r="F569" s="11">
        <v>6</v>
      </c>
      <c r="H569" s="6">
        <v>308731</v>
      </c>
      <c r="I569" s="1">
        <v>44823</v>
      </c>
      <c r="J569" s="11">
        <v>6</v>
      </c>
    </row>
    <row r="570" spans="4:10" x14ac:dyDescent="0.25">
      <c r="D570" s="6">
        <v>308732</v>
      </c>
      <c r="E570" s="1">
        <v>44852</v>
      </c>
      <c r="F570" s="11">
        <v>2</v>
      </c>
      <c r="H570" s="6">
        <v>308732</v>
      </c>
      <c r="I570" s="1">
        <v>44852</v>
      </c>
      <c r="J570" s="11">
        <v>2</v>
      </c>
    </row>
    <row r="571" spans="4:10" x14ac:dyDescent="0.25">
      <c r="D571" s="6">
        <v>308733</v>
      </c>
      <c r="E571" s="1">
        <v>44636</v>
      </c>
      <c r="F571" s="11">
        <v>5</v>
      </c>
      <c r="H571" s="6">
        <v>308733</v>
      </c>
      <c r="I571" s="1">
        <v>44636</v>
      </c>
      <c r="J571" s="11">
        <v>5</v>
      </c>
    </row>
    <row r="572" spans="4:10" x14ac:dyDescent="0.25">
      <c r="D572" s="6">
        <v>308737</v>
      </c>
      <c r="E572" s="1">
        <v>44580</v>
      </c>
      <c r="F572" s="11">
        <v>5</v>
      </c>
      <c r="H572" s="6">
        <v>308737</v>
      </c>
      <c r="I572" s="1">
        <v>44580</v>
      </c>
      <c r="J572" s="11">
        <v>5</v>
      </c>
    </row>
    <row r="573" spans="4:10" x14ac:dyDescent="0.25">
      <c r="D573" s="6">
        <v>308740</v>
      </c>
      <c r="E573" s="1">
        <v>44831</v>
      </c>
      <c r="F573" s="11">
        <v>3</v>
      </c>
      <c r="H573" s="6">
        <v>308740</v>
      </c>
      <c r="I573" s="1">
        <v>44831</v>
      </c>
      <c r="J573" s="11">
        <v>3</v>
      </c>
    </row>
    <row r="574" spans="4:10" x14ac:dyDescent="0.25">
      <c r="D574" s="6">
        <v>308741</v>
      </c>
      <c r="E574" s="1">
        <v>44801</v>
      </c>
      <c r="F574" s="11">
        <v>2</v>
      </c>
      <c r="H574" s="6">
        <v>308741</v>
      </c>
      <c r="I574" s="1">
        <v>44801</v>
      </c>
      <c r="J574" s="11">
        <v>2</v>
      </c>
    </row>
    <row r="575" spans="4:10" x14ac:dyDescent="0.25">
      <c r="D575" s="6">
        <v>308742</v>
      </c>
      <c r="E575" s="1">
        <v>44599</v>
      </c>
      <c r="F575" s="11">
        <v>1</v>
      </c>
      <c r="H575" s="6">
        <v>308742</v>
      </c>
      <c r="I575" s="1">
        <v>44599</v>
      </c>
      <c r="J575" s="11">
        <v>1</v>
      </c>
    </row>
    <row r="576" spans="4:10" x14ac:dyDescent="0.25">
      <c r="D576" s="6">
        <v>308744</v>
      </c>
      <c r="E576" s="1">
        <v>44856</v>
      </c>
      <c r="F576" s="11">
        <v>2</v>
      </c>
      <c r="H576" s="6">
        <v>308744</v>
      </c>
      <c r="I576" s="1">
        <v>44856</v>
      </c>
      <c r="J576" s="11">
        <v>2</v>
      </c>
    </row>
    <row r="577" spans="4:10" x14ac:dyDescent="0.25">
      <c r="D577" s="6">
        <v>308745</v>
      </c>
      <c r="E577" s="1">
        <v>44619</v>
      </c>
      <c r="F577" s="11">
        <v>6</v>
      </c>
      <c r="H577" s="6">
        <v>308745</v>
      </c>
      <c r="I577" s="1">
        <v>44619</v>
      </c>
      <c r="J577" s="11">
        <v>6</v>
      </c>
    </row>
    <row r="578" spans="4:10" x14ac:dyDescent="0.25">
      <c r="D578" s="6">
        <v>308750</v>
      </c>
      <c r="E578" s="1">
        <v>44682</v>
      </c>
      <c r="F578" s="11">
        <v>1</v>
      </c>
      <c r="H578" s="6">
        <v>308750</v>
      </c>
      <c r="I578" s="1">
        <v>44682</v>
      </c>
      <c r="J578" s="11">
        <v>1</v>
      </c>
    </row>
    <row r="579" spans="4:10" x14ac:dyDescent="0.25">
      <c r="D579" s="6">
        <v>308753</v>
      </c>
      <c r="E579" s="1">
        <v>44693</v>
      </c>
      <c r="F579" s="11">
        <v>2</v>
      </c>
      <c r="H579" s="6">
        <v>308753</v>
      </c>
      <c r="I579" s="1">
        <v>44693</v>
      </c>
      <c r="J579" s="11">
        <v>2</v>
      </c>
    </row>
    <row r="580" spans="4:10" x14ac:dyDescent="0.25">
      <c r="D580" s="6">
        <v>308757</v>
      </c>
      <c r="E580" s="1">
        <v>44643</v>
      </c>
      <c r="F580" s="11">
        <v>2</v>
      </c>
      <c r="H580" s="6">
        <v>308757</v>
      </c>
      <c r="I580" s="1">
        <v>44643</v>
      </c>
      <c r="J580" s="11">
        <v>2</v>
      </c>
    </row>
    <row r="581" spans="4:10" x14ac:dyDescent="0.25">
      <c r="D581" s="6">
        <v>308759</v>
      </c>
      <c r="E581" s="1">
        <v>44793</v>
      </c>
      <c r="F581" s="11">
        <v>4</v>
      </c>
      <c r="H581" s="6">
        <v>308759</v>
      </c>
      <c r="I581" s="1">
        <v>44793</v>
      </c>
      <c r="J581" s="11">
        <v>4</v>
      </c>
    </row>
    <row r="582" spans="4:10" x14ac:dyDescent="0.25">
      <c r="D582" s="6">
        <v>308762</v>
      </c>
      <c r="E582" s="1">
        <v>44825</v>
      </c>
      <c r="F582" s="11">
        <v>2</v>
      </c>
      <c r="H582" s="6">
        <v>308762</v>
      </c>
      <c r="I582" s="1">
        <v>44825</v>
      </c>
      <c r="J582" s="11">
        <v>2</v>
      </c>
    </row>
    <row r="583" spans="4:10" x14ac:dyDescent="0.25">
      <c r="D583" s="6">
        <v>308766</v>
      </c>
      <c r="E583" s="1">
        <v>44723</v>
      </c>
      <c r="F583" s="11">
        <v>1</v>
      </c>
      <c r="H583" s="6">
        <v>308766</v>
      </c>
      <c r="I583" s="1">
        <v>44723</v>
      </c>
      <c r="J583" s="11">
        <v>1</v>
      </c>
    </row>
    <row r="584" spans="4:10" x14ac:dyDescent="0.25">
      <c r="D584" s="6">
        <v>308767</v>
      </c>
      <c r="E584" s="1">
        <v>44673</v>
      </c>
      <c r="F584" s="11">
        <v>5</v>
      </c>
      <c r="H584" s="6">
        <v>308767</v>
      </c>
      <c r="I584" s="1">
        <v>44673</v>
      </c>
      <c r="J584" s="11">
        <v>5</v>
      </c>
    </row>
    <row r="585" spans="4:10" x14ac:dyDescent="0.25">
      <c r="D585" s="6">
        <v>308768</v>
      </c>
      <c r="E585" s="1">
        <v>44628</v>
      </c>
      <c r="F585" s="11">
        <v>2</v>
      </c>
      <c r="H585" s="6">
        <v>308768</v>
      </c>
      <c r="I585" s="1">
        <v>44628</v>
      </c>
      <c r="J585" s="11">
        <v>2</v>
      </c>
    </row>
    <row r="586" spans="4:10" x14ac:dyDescent="0.25">
      <c r="D586" s="6">
        <v>308772</v>
      </c>
      <c r="E586" s="1">
        <v>44805</v>
      </c>
      <c r="F586" s="11">
        <v>3</v>
      </c>
      <c r="H586" s="6">
        <v>308772</v>
      </c>
      <c r="I586" s="1">
        <v>44805</v>
      </c>
      <c r="J586" s="11">
        <v>3</v>
      </c>
    </row>
    <row r="587" spans="4:10" x14ac:dyDescent="0.25">
      <c r="D587" s="6">
        <v>308777</v>
      </c>
      <c r="E587" s="1">
        <v>44726</v>
      </c>
      <c r="F587" s="11">
        <v>1</v>
      </c>
      <c r="H587" s="6">
        <v>308777</v>
      </c>
      <c r="I587" s="1">
        <v>44726</v>
      </c>
      <c r="J587" s="11">
        <v>1</v>
      </c>
    </row>
    <row r="588" spans="4:10" x14ac:dyDescent="0.25">
      <c r="D588" s="6">
        <v>308778</v>
      </c>
      <c r="E588" s="1">
        <v>44796</v>
      </c>
      <c r="F588" s="11">
        <v>4</v>
      </c>
      <c r="H588" s="6">
        <v>308778</v>
      </c>
      <c r="I588" s="1">
        <v>44796</v>
      </c>
      <c r="J588" s="11">
        <v>4</v>
      </c>
    </row>
    <row r="589" spans="4:10" x14ac:dyDescent="0.25">
      <c r="D589" s="6">
        <v>308781</v>
      </c>
      <c r="E589" s="1">
        <v>44738</v>
      </c>
      <c r="F589" s="11">
        <v>1</v>
      </c>
      <c r="H589" s="6">
        <v>308781</v>
      </c>
      <c r="I589" s="1">
        <v>44738</v>
      </c>
      <c r="J589" s="11">
        <v>1</v>
      </c>
    </row>
    <row r="590" spans="4:10" x14ac:dyDescent="0.25">
      <c r="D590" s="6">
        <v>308785</v>
      </c>
      <c r="E590" s="1">
        <v>44662</v>
      </c>
      <c r="F590" s="11">
        <v>3</v>
      </c>
      <c r="H590" s="6">
        <v>308785</v>
      </c>
      <c r="I590" s="1">
        <v>44662</v>
      </c>
      <c r="J590" s="11">
        <v>3</v>
      </c>
    </row>
    <row r="591" spans="4:10" x14ac:dyDescent="0.25">
      <c r="D591" s="6">
        <v>308788</v>
      </c>
      <c r="E591" s="1">
        <v>44770</v>
      </c>
      <c r="F591" s="11">
        <v>5</v>
      </c>
      <c r="H591" s="6">
        <v>308788</v>
      </c>
      <c r="I591" s="1">
        <v>44770</v>
      </c>
      <c r="J591" s="11">
        <v>5</v>
      </c>
    </row>
    <row r="592" spans="4:10" x14ac:dyDescent="0.25">
      <c r="D592" s="6">
        <v>308792</v>
      </c>
      <c r="E592" s="1">
        <v>44771</v>
      </c>
      <c r="F592" s="11">
        <v>2</v>
      </c>
      <c r="H592" s="6">
        <v>308792</v>
      </c>
      <c r="I592" s="1">
        <v>44771</v>
      </c>
      <c r="J592" s="11">
        <v>2</v>
      </c>
    </row>
    <row r="593" spans="4:10" x14ac:dyDescent="0.25">
      <c r="D593" s="6">
        <v>308795</v>
      </c>
      <c r="E593" s="1">
        <v>44735</v>
      </c>
      <c r="F593" s="11">
        <v>1</v>
      </c>
      <c r="H593" s="6">
        <v>308795</v>
      </c>
      <c r="I593" s="1">
        <v>44735</v>
      </c>
      <c r="J593" s="11">
        <v>1</v>
      </c>
    </row>
    <row r="594" spans="4:10" x14ac:dyDescent="0.25">
      <c r="D594" s="6">
        <v>308799</v>
      </c>
      <c r="E594" s="1">
        <v>44564</v>
      </c>
      <c r="F594" s="11">
        <v>3</v>
      </c>
      <c r="H594" s="6">
        <v>308799</v>
      </c>
      <c r="I594" s="1">
        <v>44564</v>
      </c>
      <c r="J594" s="11">
        <v>3</v>
      </c>
    </row>
    <row r="595" spans="4:10" x14ac:dyDescent="0.25">
      <c r="D595" s="6">
        <v>308803</v>
      </c>
      <c r="E595" s="1">
        <v>44768</v>
      </c>
      <c r="F595" s="11">
        <v>1</v>
      </c>
      <c r="H595" s="6">
        <v>308803</v>
      </c>
      <c r="I595" s="1">
        <v>44768</v>
      </c>
      <c r="J595" s="11">
        <v>1</v>
      </c>
    </row>
    <row r="596" spans="4:10" x14ac:dyDescent="0.25">
      <c r="D596" s="6">
        <v>308806</v>
      </c>
      <c r="E596" s="1">
        <v>44634</v>
      </c>
      <c r="F596" s="11">
        <v>1</v>
      </c>
      <c r="H596" s="6">
        <v>308806</v>
      </c>
      <c r="I596" s="1">
        <v>44634</v>
      </c>
      <c r="J596" s="11">
        <v>1</v>
      </c>
    </row>
    <row r="597" spans="4:10" x14ac:dyDescent="0.25">
      <c r="D597" s="6">
        <v>308809</v>
      </c>
      <c r="E597" s="1">
        <v>44752</v>
      </c>
      <c r="F597" s="11">
        <v>2</v>
      </c>
      <c r="H597" s="6">
        <v>308809</v>
      </c>
      <c r="I597" s="1">
        <v>44752</v>
      </c>
      <c r="J597" s="11">
        <v>2</v>
      </c>
    </row>
    <row r="598" spans="4:10" x14ac:dyDescent="0.25">
      <c r="D598" s="6">
        <v>308814</v>
      </c>
      <c r="E598" s="1">
        <v>44761</v>
      </c>
      <c r="F598" s="11">
        <v>2</v>
      </c>
      <c r="H598" s="6">
        <v>308814</v>
      </c>
      <c r="I598" s="1">
        <v>44761</v>
      </c>
      <c r="J598" s="11">
        <v>2</v>
      </c>
    </row>
    <row r="599" spans="4:10" x14ac:dyDescent="0.25">
      <c r="D599" s="6">
        <v>308817</v>
      </c>
      <c r="E599" s="1">
        <v>44623</v>
      </c>
      <c r="F599" s="11">
        <v>1</v>
      </c>
      <c r="H599" s="6">
        <v>308817</v>
      </c>
      <c r="I599" s="1">
        <v>44623</v>
      </c>
      <c r="J599" s="11">
        <v>1</v>
      </c>
    </row>
    <row r="600" spans="4:10" x14ac:dyDescent="0.25">
      <c r="D600" s="6">
        <v>308819</v>
      </c>
      <c r="E600" s="1">
        <v>44779</v>
      </c>
      <c r="F600" s="11">
        <v>6</v>
      </c>
      <c r="H600" s="6">
        <v>308819</v>
      </c>
      <c r="I600" s="1">
        <v>44779</v>
      </c>
      <c r="J600" s="11">
        <v>6</v>
      </c>
    </row>
    <row r="601" spans="4:10" x14ac:dyDescent="0.25">
      <c r="D601" s="6">
        <v>308822</v>
      </c>
      <c r="E601" s="1">
        <v>44629</v>
      </c>
      <c r="F601" s="11">
        <v>1</v>
      </c>
      <c r="H601" s="6">
        <v>308822</v>
      </c>
      <c r="I601" s="1">
        <v>44629</v>
      </c>
      <c r="J601" s="11">
        <v>1</v>
      </c>
    </row>
    <row r="602" spans="4:10" x14ac:dyDescent="0.25">
      <c r="D602" s="6">
        <v>308826</v>
      </c>
      <c r="E602" s="1">
        <v>44603</v>
      </c>
      <c r="F602" s="11">
        <v>1</v>
      </c>
      <c r="H602" s="6">
        <v>308826</v>
      </c>
      <c r="I602" s="1">
        <v>44603</v>
      </c>
      <c r="J602" s="11">
        <v>1</v>
      </c>
    </row>
    <row r="603" spans="4:10" x14ac:dyDescent="0.25">
      <c r="D603" s="6">
        <v>308828</v>
      </c>
      <c r="E603" s="1">
        <v>44709</v>
      </c>
      <c r="F603" s="11">
        <v>1</v>
      </c>
      <c r="H603" s="6">
        <v>308828</v>
      </c>
      <c r="I603" s="1">
        <v>44709</v>
      </c>
      <c r="J603" s="11">
        <v>1</v>
      </c>
    </row>
    <row r="604" spans="4:10" x14ac:dyDescent="0.25">
      <c r="D604" s="6">
        <v>308830</v>
      </c>
      <c r="E604" s="1">
        <v>44677</v>
      </c>
      <c r="F604" s="11">
        <v>6</v>
      </c>
      <c r="H604" s="6">
        <v>308830</v>
      </c>
      <c r="I604" s="1">
        <v>44677</v>
      </c>
      <c r="J604" s="11">
        <v>6</v>
      </c>
    </row>
    <row r="605" spans="4:10" x14ac:dyDescent="0.25">
      <c r="D605" s="6">
        <v>308834</v>
      </c>
      <c r="E605" s="1">
        <v>44809</v>
      </c>
      <c r="F605" s="11">
        <v>2</v>
      </c>
      <c r="H605" s="6">
        <v>308834</v>
      </c>
      <c r="I605" s="1">
        <v>44809</v>
      </c>
      <c r="J605" s="11">
        <v>2</v>
      </c>
    </row>
    <row r="606" spans="4:10" x14ac:dyDescent="0.25">
      <c r="D606" s="6">
        <v>308836</v>
      </c>
      <c r="E606" s="1">
        <v>44664</v>
      </c>
      <c r="F606" s="11">
        <v>2</v>
      </c>
      <c r="H606" s="6">
        <v>308836</v>
      </c>
      <c r="I606" s="1">
        <v>44664</v>
      </c>
      <c r="J606" s="11">
        <v>2</v>
      </c>
    </row>
    <row r="607" spans="4:10" x14ac:dyDescent="0.25">
      <c r="D607" s="6">
        <v>308840</v>
      </c>
      <c r="E607" s="1">
        <v>44720</v>
      </c>
      <c r="F607" s="11">
        <v>3</v>
      </c>
      <c r="H607" s="6">
        <v>308840</v>
      </c>
      <c r="I607" s="1">
        <v>44720</v>
      </c>
      <c r="J607" s="11">
        <v>3</v>
      </c>
    </row>
    <row r="608" spans="4:10" x14ac:dyDescent="0.25">
      <c r="D608" s="6">
        <v>308842</v>
      </c>
      <c r="E608" s="1">
        <v>44680</v>
      </c>
      <c r="F608" s="11">
        <v>1</v>
      </c>
      <c r="H608" s="6">
        <v>308842</v>
      </c>
      <c r="I608" s="1">
        <v>44680</v>
      </c>
      <c r="J608" s="11">
        <v>1</v>
      </c>
    </row>
    <row r="609" spans="4:10" x14ac:dyDescent="0.25">
      <c r="D609" s="6">
        <v>308844</v>
      </c>
      <c r="E609" s="1">
        <v>44826</v>
      </c>
      <c r="F609" s="11">
        <v>2</v>
      </c>
      <c r="H609" s="6">
        <v>308844</v>
      </c>
      <c r="I609" s="1">
        <v>44826</v>
      </c>
      <c r="J609" s="11">
        <v>2</v>
      </c>
    </row>
    <row r="610" spans="4:10" x14ac:dyDescent="0.25">
      <c r="D610" s="6">
        <v>308847</v>
      </c>
      <c r="E610" s="1">
        <v>44689</v>
      </c>
      <c r="F610" s="11">
        <v>5</v>
      </c>
      <c r="H610" s="6">
        <v>308847</v>
      </c>
      <c r="I610" s="1">
        <v>44689</v>
      </c>
      <c r="J610" s="11">
        <v>5</v>
      </c>
    </row>
    <row r="611" spans="4:10" x14ac:dyDescent="0.25">
      <c r="D611" s="6">
        <v>308849</v>
      </c>
      <c r="E611" s="1">
        <v>44772</v>
      </c>
      <c r="F611" s="11">
        <v>2</v>
      </c>
      <c r="H611" s="6">
        <v>308849</v>
      </c>
      <c r="I611" s="1">
        <v>44772</v>
      </c>
      <c r="J611" s="11">
        <v>2</v>
      </c>
    </row>
    <row r="612" spans="4:10" x14ac:dyDescent="0.25">
      <c r="D612" s="6">
        <v>308851</v>
      </c>
      <c r="E612" s="1">
        <v>44675</v>
      </c>
      <c r="F612" s="11">
        <v>3</v>
      </c>
      <c r="H612" s="6">
        <v>308851</v>
      </c>
      <c r="I612" s="1">
        <v>44675</v>
      </c>
      <c r="J612" s="11">
        <v>3</v>
      </c>
    </row>
    <row r="613" spans="4:10" x14ac:dyDescent="0.25">
      <c r="D613" s="6">
        <v>308852</v>
      </c>
      <c r="E613" s="1">
        <v>44570</v>
      </c>
      <c r="F613" s="11">
        <v>1</v>
      </c>
      <c r="H613" s="6">
        <v>308852</v>
      </c>
      <c r="I613" s="1">
        <v>44570</v>
      </c>
      <c r="J613" s="11">
        <v>1</v>
      </c>
    </row>
    <row r="614" spans="4:10" x14ac:dyDescent="0.25">
      <c r="D614" s="6">
        <v>308854</v>
      </c>
      <c r="E614" s="1">
        <v>44697</v>
      </c>
      <c r="F614" s="11">
        <v>1</v>
      </c>
      <c r="H614" s="6">
        <v>308854</v>
      </c>
      <c r="I614" s="1">
        <v>44697</v>
      </c>
      <c r="J614" s="11">
        <v>1</v>
      </c>
    </row>
    <row r="615" spans="4:10" x14ac:dyDescent="0.25">
      <c r="D615" s="6">
        <v>308857</v>
      </c>
      <c r="E615" s="1">
        <v>44752</v>
      </c>
      <c r="F615" s="11">
        <v>5</v>
      </c>
      <c r="H615" s="6">
        <v>308857</v>
      </c>
      <c r="I615" s="1">
        <v>44752</v>
      </c>
      <c r="J615" s="11">
        <v>5</v>
      </c>
    </row>
    <row r="616" spans="4:10" x14ac:dyDescent="0.25">
      <c r="D616" s="6">
        <v>308858</v>
      </c>
      <c r="E616" s="1">
        <v>44702</v>
      </c>
      <c r="F616" s="11">
        <v>3</v>
      </c>
      <c r="H616" s="6">
        <v>308858</v>
      </c>
      <c r="I616" s="1">
        <v>44702</v>
      </c>
      <c r="J616" s="11">
        <v>3</v>
      </c>
    </row>
    <row r="617" spans="4:10" x14ac:dyDescent="0.25">
      <c r="D617" s="6">
        <v>308859</v>
      </c>
      <c r="E617" s="1">
        <v>44712</v>
      </c>
      <c r="F617" s="11">
        <v>2</v>
      </c>
      <c r="H617" s="6">
        <v>308859</v>
      </c>
      <c r="I617" s="1">
        <v>44712</v>
      </c>
      <c r="J617" s="11">
        <v>2</v>
      </c>
    </row>
    <row r="618" spans="4:10" x14ac:dyDescent="0.25">
      <c r="D618" s="6">
        <v>308861</v>
      </c>
      <c r="E618" s="1">
        <v>44611</v>
      </c>
      <c r="F618" s="11">
        <v>4</v>
      </c>
      <c r="H618" s="6">
        <v>308861</v>
      </c>
      <c r="I618" s="1">
        <v>44611</v>
      </c>
      <c r="J618" s="11">
        <v>4</v>
      </c>
    </row>
    <row r="619" spans="4:10" x14ac:dyDescent="0.25">
      <c r="D619" s="6">
        <v>308862</v>
      </c>
      <c r="E619" s="1">
        <v>44672</v>
      </c>
      <c r="F619" s="11">
        <v>1</v>
      </c>
      <c r="H619" s="6">
        <v>308862</v>
      </c>
      <c r="I619" s="1">
        <v>44672</v>
      </c>
      <c r="J619" s="11">
        <v>1</v>
      </c>
    </row>
    <row r="620" spans="4:10" x14ac:dyDescent="0.25">
      <c r="D620" s="6">
        <v>308863</v>
      </c>
      <c r="E620" s="1">
        <v>44806</v>
      </c>
      <c r="F620" s="11">
        <v>1</v>
      </c>
      <c r="H620" s="6">
        <v>308863</v>
      </c>
      <c r="I620" s="1">
        <v>44806</v>
      </c>
      <c r="J620" s="11">
        <v>1</v>
      </c>
    </row>
    <row r="621" spans="4:10" x14ac:dyDescent="0.25">
      <c r="D621" s="6">
        <v>308865</v>
      </c>
      <c r="E621" s="1">
        <v>44672</v>
      </c>
      <c r="F621" s="11">
        <v>3</v>
      </c>
      <c r="H621" s="6">
        <v>308865</v>
      </c>
      <c r="I621" s="1">
        <v>44672</v>
      </c>
      <c r="J621" s="11">
        <v>3</v>
      </c>
    </row>
    <row r="622" spans="4:10" x14ac:dyDescent="0.25">
      <c r="D622" s="6">
        <v>308868</v>
      </c>
      <c r="E622" s="1">
        <v>44837</v>
      </c>
      <c r="F622" s="11">
        <v>2</v>
      </c>
      <c r="H622" s="6">
        <v>308868</v>
      </c>
      <c r="I622" s="1">
        <v>44837</v>
      </c>
      <c r="J622" s="11">
        <v>2</v>
      </c>
    </row>
    <row r="623" spans="4:10" x14ac:dyDescent="0.25">
      <c r="D623" s="6">
        <v>308871</v>
      </c>
      <c r="E623" s="1">
        <v>44578</v>
      </c>
      <c r="F623" s="11">
        <v>2</v>
      </c>
      <c r="H623" s="6">
        <v>308871</v>
      </c>
      <c r="I623" s="1">
        <v>44578</v>
      </c>
      <c r="J623" s="11">
        <v>2</v>
      </c>
    </row>
    <row r="624" spans="4:10" x14ac:dyDescent="0.25">
      <c r="D624" s="6">
        <v>308872</v>
      </c>
      <c r="E624" s="1">
        <v>44589</v>
      </c>
      <c r="F624" s="11">
        <v>6</v>
      </c>
      <c r="H624" s="6">
        <v>308872</v>
      </c>
      <c r="I624" s="1">
        <v>44589</v>
      </c>
      <c r="J624" s="11">
        <v>6</v>
      </c>
    </row>
    <row r="625" spans="4:10" x14ac:dyDescent="0.25">
      <c r="D625" s="6">
        <v>308873</v>
      </c>
      <c r="E625" s="1">
        <v>44859</v>
      </c>
      <c r="F625" s="11">
        <v>2</v>
      </c>
      <c r="H625" s="6">
        <v>308873</v>
      </c>
      <c r="I625" s="1">
        <v>44859</v>
      </c>
      <c r="J625" s="11">
        <v>2</v>
      </c>
    </row>
    <row r="626" spans="4:10" x14ac:dyDescent="0.25">
      <c r="D626" s="6">
        <v>308877</v>
      </c>
      <c r="E626" s="1">
        <v>44805</v>
      </c>
      <c r="F626" s="11">
        <v>3</v>
      </c>
      <c r="H626" s="6">
        <v>308877</v>
      </c>
      <c r="I626" s="1">
        <v>44805</v>
      </c>
      <c r="J626" s="11">
        <v>3</v>
      </c>
    </row>
    <row r="627" spans="4:10" x14ac:dyDescent="0.25">
      <c r="D627" s="6">
        <v>308879</v>
      </c>
      <c r="E627" s="1">
        <v>44591</v>
      </c>
      <c r="F627" s="11">
        <v>1</v>
      </c>
      <c r="H627" s="6">
        <v>308879</v>
      </c>
      <c r="I627" s="1">
        <v>44591</v>
      </c>
      <c r="J627" s="11">
        <v>1</v>
      </c>
    </row>
    <row r="628" spans="4:10" x14ac:dyDescent="0.25">
      <c r="D628" s="6">
        <v>308883</v>
      </c>
      <c r="E628" s="1">
        <v>44849</v>
      </c>
      <c r="F628" s="11">
        <v>5</v>
      </c>
      <c r="H628" s="6">
        <v>308883</v>
      </c>
      <c r="I628" s="1">
        <v>44849</v>
      </c>
      <c r="J628" s="11">
        <v>5</v>
      </c>
    </row>
    <row r="629" spans="4:10" x14ac:dyDescent="0.25">
      <c r="D629" s="6">
        <v>308886</v>
      </c>
      <c r="E629" s="1">
        <v>44645</v>
      </c>
      <c r="F629" s="11">
        <v>3</v>
      </c>
      <c r="H629" s="6">
        <v>308886</v>
      </c>
      <c r="I629" s="1">
        <v>44645</v>
      </c>
      <c r="J629" s="11">
        <v>3</v>
      </c>
    </row>
    <row r="630" spans="4:10" x14ac:dyDescent="0.25">
      <c r="D630" s="6">
        <v>308889</v>
      </c>
      <c r="E630" s="1">
        <v>44636</v>
      </c>
      <c r="F630" s="11">
        <v>2</v>
      </c>
      <c r="H630" s="6">
        <v>308889</v>
      </c>
      <c r="I630" s="1">
        <v>44636</v>
      </c>
      <c r="J630" s="11">
        <v>2</v>
      </c>
    </row>
    <row r="631" spans="4:10" x14ac:dyDescent="0.25">
      <c r="D631" s="6">
        <v>308890</v>
      </c>
      <c r="E631" s="1">
        <v>44615</v>
      </c>
      <c r="F631" s="11">
        <v>5</v>
      </c>
      <c r="H631" s="6">
        <v>308890</v>
      </c>
      <c r="I631" s="1">
        <v>44615</v>
      </c>
      <c r="J631" s="11">
        <v>5</v>
      </c>
    </row>
    <row r="632" spans="4:10" x14ac:dyDescent="0.25">
      <c r="D632" s="6">
        <v>308893</v>
      </c>
      <c r="E632" s="1">
        <v>44656</v>
      </c>
      <c r="F632" s="11">
        <v>2</v>
      </c>
      <c r="H632" s="6">
        <v>308893</v>
      </c>
      <c r="I632" s="1">
        <v>44656</v>
      </c>
      <c r="J632" s="11">
        <v>2</v>
      </c>
    </row>
    <row r="633" spans="4:10" x14ac:dyDescent="0.25">
      <c r="D633" s="6">
        <v>308895</v>
      </c>
      <c r="E633" s="1">
        <v>44706</v>
      </c>
      <c r="F633" s="11">
        <v>5</v>
      </c>
      <c r="H633" s="6">
        <v>308895</v>
      </c>
      <c r="I633" s="1">
        <v>44706</v>
      </c>
      <c r="J633" s="11">
        <v>5</v>
      </c>
    </row>
    <row r="634" spans="4:10" x14ac:dyDescent="0.25">
      <c r="D634" s="6">
        <v>308898</v>
      </c>
      <c r="E634" s="1">
        <v>44643</v>
      </c>
      <c r="F634" s="11">
        <v>1</v>
      </c>
      <c r="H634" s="6">
        <v>308898</v>
      </c>
      <c r="I634" s="1">
        <v>44643</v>
      </c>
      <c r="J634" s="11">
        <v>1</v>
      </c>
    </row>
    <row r="635" spans="4:10" x14ac:dyDescent="0.25">
      <c r="D635" s="6">
        <v>308903</v>
      </c>
      <c r="E635" s="1">
        <v>44761</v>
      </c>
      <c r="F635" s="11">
        <v>5</v>
      </c>
      <c r="H635" s="6">
        <v>308903</v>
      </c>
      <c r="I635" s="1">
        <v>44761</v>
      </c>
      <c r="J635" s="11">
        <v>5</v>
      </c>
    </row>
    <row r="636" spans="4:10" x14ac:dyDescent="0.25">
      <c r="D636" s="6">
        <v>308906</v>
      </c>
      <c r="E636" s="1">
        <v>44819</v>
      </c>
      <c r="F636" s="11">
        <v>1</v>
      </c>
      <c r="H636" s="6">
        <v>308906</v>
      </c>
      <c r="I636" s="1">
        <v>44819</v>
      </c>
      <c r="J636" s="11">
        <v>1</v>
      </c>
    </row>
    <row r="637" spans="4:10" x14ac:dyDescent="0.25">
      <c r="D637" s="6">
        <v>308911</v>
      </c>
      <c r="E637" s="1">
        <v>44812</v>
      </c>
      <c r="F637" s="11">
        <v>3</v>
      </c>
      <c r="H637" s="6">
        <v>308911</v>
      </c>
      <c r="I637" s="1">
        <v>44812</v>
      </c>
      <c r="J637" s="11">
        <v>3</v>
      </c>
    </row>
    <row r="638" spans="4:10" x14ac:dyDescent="0.25">
      <c r="D638" s="6">
        <v>308915</v>
      </c>
      <c r="E638" s="1">
        <v>44725</v>
      </c>
      <c r="F638" s="11">
        <v>1</v>
      </c>
      <c r="H638" s="6">
        <v>308915</v>
      </c>
      <c r="I638" s="1">
        <v>44725</v>
      </c>
      <c r="J638" s="11">
        <v>1</v>
      </c>
    </row>
    <row r="639" spans="4:10" x14ac:dyDescent="0.25">
      <c r="D639" s="6">
        <v>308917</v>
      </c>
      <c r="E639" s="1">
        <v>44571</v>
      </c>
      <c r="F639" s="11">
        <v>2</v>
      </c>
      <c r="H639" s="6">
        <v>308917</v>
      </c>
      <c r="I639" s="1">
        <v>44571</v>
      </c>
      <c r="J639" s="11">
        <v>2</v>
      </c>
    </row>
    <row r="640" spans="4:10" x14ac:dyDescent="0.25">
      <c r="D640" s="6">
        <v>308918</v>
      </c>
      <c r="E640" s="1">
        <v>44821</v>
      </c>
      <c r="F640" s="11">
        <v>2</v>
      </c>
      <c r="H640" s="6">
        <v>308918</v>
      </c>
      <c r="I640" s="1">
        <v>44821</v>
      </c>
      <c r="J640" s="11">
        <v>2</v>
      </c>
    </row>
    <row r="641" spans="4:10" x14ac:dyDescent="0.25">
      <c r="D641" s="6">
        <v>308923</v>
      </c>
      <c r="E641" s="1">
        <v>44571</v>
      </c>
      <c r="F641" s="11">
        <v>1</v>
      </c>
      <c r="H641" s="6">
        <v>308923</v>
      </c>
      <c r="I641" s="1">
        <v>44571</v>
      </c>
      <c r="J641" s="11">
        <v>1</v>
      </c>
    </row>
    <row r="642" spans="4:10" x14ac:dyDescent="0.25">
      <c r="D642" s="6">
        <v>308927</v>
      </c>
      <c r="E642" s="1">
        <v>44773</v>
      </c>
      <c r="F642" s="11">
        <v>6</v>
      </c>
      <c r="H642" s="6">
        <v>308927</v>
      </c>
      <c r="I642" s="1">
        <v>44773</v>
      </c>
      <c r="J642" s="11">
        <v>6</v>
      </c>
    </row>
    <row r="643" spans="4:10" x14ac:dyDescent="0.25">
      <c r="D643" s="6">
        <v>308930</v>
      </c>
      <c r="E643" s="1">
        <v>44603</v>
      </c>
      <c r="F643" s="11">
        <v>2</v>
      </c>
      <c r="H643" s="6">
        <v>308930</v>
      </c>
      <c r="I643" s="1">
        <v>44603</v>
      </c>
      <c r="J643" s="11">
        <v>2</v>
      </c>
    </row>
    <row r="644" spans="4:10" x14ac:dyDescent="0.25">
      <c r="D644" s="6">
        <v>308931</v>
      </c>
      <c r="E644" s="1">
        <v>44640</v>
      </c>
      <c r="F644" s="11">
        <v>1</v>
      </c>
      <c r="H644" s="6">
        <v>308931</v>
      </c>
      <c r="I644" s="1">
        <v>44640</v>
      </c>
      <c r="J644" s="11">
        <v>1</v>
      </c>
    </row>
    <row r="645" spans="4:10" x14ac:dyDescent="0.25">
      <c r="D645" s="6">
        <v>308934</v>
      </c>
      <c r="E645" s="1">
        <v>44780</v>
      </c>
      <c r="F645" s="11">
        <v>1</v>
      </c>
      <c r="H645" s="6">
        <v>308934</v>
      </c>
      <c r="I645" s="1">
        <v>44780</v>
      </c>
      <c r="J645" s="11">
        <v>1</v>
      </c>
    </row>
    <row r="646" spans="4:10" x14ac:dyDescent="0.25">
      <c r="D646" s="6">
        <v>308935</v>
      </c>
      <c r="E646" s="1">
        <v>44671</v>
      </c>
      <c r="F646" s="11">
        <v>5</v>
      </c>
      <c r="H646" s="6">
        <v>308935</v>
      </c>
      <c r="I646" s="1">
        <v>44671</v>
      </c>
      <c r="J646" s="11">
        <v>5</v>
      </c>
    </row>
    <row r="647" spans="4:10" x14ac:dyDescent="0.25">
      <c r="D647" s="6">
        <v>308937</v>
      </c>
      <c r="E647" s="1">
        <v>44793</v>
      </c>
      <c r="F647" s="11">
        <v>6</v>
      </c>
      <c r="H647" s="6">
        <v>308937</v>
      </c>
      <c r="I647" s="1">
        <v>44793</v>
      </c>
      <c r="J647" s="11">
        <v>6</v>
      </c>
    </row>
    <row r="648" spans="4:10" x14ac:dyDescent="0.25">
      <c r="D648" s="6">
        <v>308942</v>
      </c>
      <c r="E648" s="1">
        <v>44628</v>
      </c>
      <c r="F648" s="11">
        <v>5</v>
      </c>
      <c r="H648" s="6">
        <v>308942</v>
      </c>
      <c r="I648" s="1">
        <v>44628</v>
      </c>
      <c r="J648" s="11">
        <v>5</v>
      </c>
    </row>
    <row r="649" spans="4:10" x14ac:dyDescent="0.25">
      <c r="D649" s="6">
        <v>308946</v>
      </c>
      <c r="E649" s="1">
        <v>44654</v>
      </c>
      <c r="F649" s="11">
        <v>3</v>
      </c>
      <c r="H649" s="6">
        <v>308946</v>
      </c>
      <c r="I649" s="1">
        <v>44654</v>
      </c>
      <c r="J649" s="11">
        <v>3</v>
      </c>
    </row>
    <row r="650" spans="4:10" x14ac:dyDescent="0.25">
      <c r="D650" s="6">
        <v>308948</v>
      </c>
      <c r="E650" s="1">
        <v>44842</v>
      </c>
      <c r="F650" s="11">
        <v>3</v>
      </c>
      <c r="H650" s="6">
        <v>308948</v>
      </c>
      <c r="I650" s="1">
        <v>44842</v>
      </c>
      <c r="J650" s="11">
        <v>3</v>
      </c>
    </row>
    <row r="651" spans="4:10" x14ac:dyDescent="0.25">
      <c r="D651" s="6">
        <v>308952</v>
      </c>
      <c r="E651" s="1">
        <v>44776</v>
      </c>
      <c r="F651" s="11">
        <v>3</v>
      </c>
      <c r="H651" s="6">
        <v>308952</v>
      </c>
      <c r="I651" s="1">
        <v>44776</v>
      </c>
      <c r="J651" s="11">
        <v>3</v>
      </c>
    </row>
    <row r="652" spans="4:10" x14ac:dyDescent="0.25">
      <c r="D652" s="6">
        <v>308954</v>
      </c>
      <c r="E652" s="1">
        <v>44854</v>
      </c>
      <c r="F652" s="11">
        <v>2</v>
      </c>
      <c r="H652" s="6">
        <v>308954</v>
      </c>
      <c r="I652" s="1">
        <v>44854</v>
      </c>
      <c r="J652" s="11">
        <v>2</v>
      </c>
    </row>
    <row r="653" spans="4:10" x14ac:dyDescent="0.25">
      <c r="D653" s="6">
        <v>308957</v>
      </c>
      <c r="E653" s="1">
        <v>44732</v>
      </c>
      <c r="F653" s="11">
        <v>4</v>
      </c>
      <c r="H653" s="6">
        <v>308957</v>
      </c>
      <c r="I653" s="1">
        <v>44732</v>
      </c>
      <c r="J653" s="11">
        <v>4</v>
      </c>
    </row>
    <row r="654" spans="4:10" x14ac:dyDescent="0.25">
      <c r="D654" s="6">
        <v>308960</v>
      </c>
      <c r="E654" s="1">
        <v>44667</v>
      </c>
      <c r="F654" s="11">
        <v>2</v>
      </c>
      <c r="H654" s="6">
        <v>308960</v>
      </c>
      <c r="I654" s="1">
        <v>44667</v>
      </c>
      <c r="J654" s="11">
        <v>2</v>
      </c>
    </row>
    <row r="655" spans="4:10" x14ac:dyDescent="0.25">
      <c r="D655" s="6">
        <v>308964</v>
      </c>
      <c r="E655" s="1">
        <v>44786</v>
      </c>
      <c r="F655" s="11">
        <v>5</v>
      </c>
      <c r="H655" s="6">
        <v>308964</v>
      </c>
      <c r="I655" s="1">
        <v>44786</v>
      </c>
      <c r="J655" s="11">
        <v>5</v>
      </c>
    </row>
    <row r="656" spans="4:10" x14ac:dyDescent="0.25">
      <c r="D656" s="6">
        <v>308969</v>
      </c>
      <c r="E656" s="1">
        <v>44845</v>
      </c>
      <c r="F656" s="11">
        <v>2</v>
      </c>
      <c r="H656" s="6">
        <v>308969</v>
      </c>
      <c r="I656" s="1">
        <v>44845</v>
      </c>
      <c r="J656" s="11">
        <v>2</v>
      </c>
    </row>
    <row r="657" spans="4:10" x14ac:dyDescent="0.25">
      <c r="D657" s="6">
        <v>308973</v>
      </c>
      <c r="E657" s="1">
        <v>44758</v>
      </c>
      <c r="F657" s="11">
        <v>1</v>
      </c>
      <c r="H657" s="6">
        <v>308973</v>
      </c>
      <c r="I657" s="1">
        <v>44758</v>
      </c>
      <c r="J657" s="11">
        <v>1</v>
      </c>
    </row>
    <row r="658" spans="4:10" x14ac:dyDescent="0.25">
      <c r="D658" s="6">
        <v>308978</v>
      </c>
      <c r="E658" s="1">
        <v>44742</v>
      </c>
      <c r="F658" s="11">
        <v>1</v>
      </c>
      <c r="H658" s="6">
        <v>308978</v>
      </c>
      <c r="I658" s="1">
        <v>44742</v>
      </c>
      <c r="J658" s="11">
        <v>1</v>
      </c>
    </row>
    <row r="659" spans="4:10" x14ac:dyDescent="0.25">
      <c r="D659" s="6">
        <v>308980</v>
      </c>
      <c r="E659" s="1">
        <v>44577</v>
      </c>
      <c r="F659" s="11">
        <v>3</v>
      </c>
      <c r="H659" s="6">
        <v>308980</v>
      </c>
      <c r="I659" s="1">
        <v>44577</v>
      </c>
      <c r="J659" s="11">
        <v>3</v>
      </c>
    </row>
    <row r="660" spans="4:10" x14ac:dyDescent="0.25">
      <c r="D660" s="6">
        <v>308981</v>
      </c>
      <c r="E660" s="1">
        <v>44652</v>
      </c>
      <c r="F660" s="11">
        <v>1</v>
      </c>
      <c r="H660" s="6">
        <v>308981</v>
      </c>
      <c r="I660" s="1">
        <v>44652</v>
      </c>
      <c r="J660" s="11">
        <v>1</v>
      </c>
    </row>
    <row r="661" spans="4:10" x14ac:dyDescent="0.25">
      <c r="D661" s="6">
        <v>308986</v>
      </c>
      <c r="E661" s="1">
        <v>44666</v>
      </c>
      <c r="F661" s="11">
        <v>2</v>
      </c>
      <c r="H661" s="6">
        <v>308986</v>
      </c>
      <c r="I661" s="1">
        <v>44666</v>
      </c>
      <c r="J661" s="11">
        <v>2</v>
      </c>
    </row>
    <row r="662" spans="4:10" x14ac:dyDescent="0.25">
      <c r="D662" s="6">
        <v>308989</v>
      </c>
      <c r="E662" s="1">
        <v>44683</v>
      </c>
      <c r="F662" s="11">
        <v>1</v>
      </c>
      <c r="H662" s="6">
        <v>308989</v>
      </c>
      <c r="I662" s="1">
        <v>44683</v>
      </c>
      <c r="J662" s="11">
        <v>1</v>
      </c>
    </row>
    <row r="663" spans="4:10" x14ac:dyDescent="0.25">
      <c r="D663" s="6">
        <v>308991</v>
      </c>
      <c r="E663" s="1">
        <v>44595</v>
      </c>
      <c r="F663" s="11">
        <v>1</v>
      </c>
      <c r="H663" s="6">
        <v>308991</v>
      </c>
      <c r="I663" s="1">
        <v>44595</v>
      </c>
      <c r="J663" s="11">
        <v>1</v>
      </c>
    </row>
    <row r="664" spans="4:10" x14ac:dyDescent="0.25">
      <c r="D664" s="6">
        <v>308994</v>
      </c>
      <c r="E664" s="1">
        <v>44821</v>
      </c>
      <c r="F664" s="11">
        <v>1</v>
      </c>
      <c r="H664" s="6">
        <v>308994</v>
      </c>
      <c r="I664" s="1">
        <v>44821</v>
      </c>
      <c r="J664" s="11">
        <v>1</v>
      </c>
    </row>
    <row r="665" spans="4:10" x14ac:dyDescent="0.25">
      <c r="D665" s="6">
        <v>308998</v>
      </c>
      <c r="E665" s="1">
        <v>44589</v>
      </c>
      <c r="F665" s="11">
        <v>6</v>
      </c>
      <c r="H665" s="6">
        <v>308998</v>
      </c>
      <c r="I665" s="1">
        <v>44589</v>
      </c>
      <c r="J665" s="11">
        <v>6</v>
      </c>
    </row>
    <row r="666" spans="4:10" x14ac:dyDescent="0.25">
      <c r="D666" s="6">
        <v>309000</v>
      </c>
      <c r="E666" s="1">
        <v>44702</v>
      </c>
      <c r="F666" s="11">
        <v>1</v>
      </c>
      <c r="H666" s="6">
        <v>309000</v>
      </c>
      <c r="I666" s="1">
        <v>44702</v>
      </c>
      <c r="J666" s="11">
        <v>1</v>
      </c>
    </row>
    <row r="667" spans="4:10" x14ac:dyDescent="0.25">
      <c r="D667" s="6">
        <v>309002</v>
      </c>
      <c r="E667" s="1">
        <v>44859</v>
      </c>
      <c r="F667" s="11">
        <v>7</v>
      </c>
      <c r="H667" s="6">
        <v>309002</v>
      </c>
      <c r="I667" s="1">
        <v>44859</v>
      </c>
      <c r="J667" s="11">
        <v>7</v>
      </c>
    </row>
    <row r="668" spans="4:10" x14ac:dyDescent="0.25">
      <c r="D668" s="6">
        <v>309004</v>
      </c>
      <c r="E668" s="1">
        <v>44802</v>
      </c>
      <c r="F668" s="11">
        <v>3</v>
      </c>
      <c r="H668" s="6">
        <v>309004</v>
      </c>
      <c r="I668" s="1">
        <v>44802</v>
      </c>
      <c r="J668" s="11">
        <v>3</v>
      </c>
    </row>
    <row r="669" spans="4:10" x14ac:dyDescent="0.25">
      <c r="D669" s="6">
        <v>309005</v>
      </c>
      <c r="E669" s="1">
        <v>44567</v>
      </c>
      <c r="F669" s="11">
        <v>3</v>
      </c>
      <c r="H669" s="6">
        <v>309005</v>
      </c>
      <c r="I669" s="1">
        <v>44567</v>
      </c>
      <c r="J669" s="11">
        <v>3</v>
      </c>
    </row>
    <row r="670" spans="4:10" x14ac:dyDescent="0.25">
      <c r="D670" s="6">
        <v>309008</v>
      </c>
      <c r="E670" s="1">
        <v>44689</v>
      </c>
      <c r="F670" s="11">
        <v>1</v>
      </c>
      <c r="H670" s="6">
        <v>309008</v>
      </c>
      <c r="I670" s="1">
        <v>44689</v>
      </c>
      <c r="J670" s="11">
        <v>1</v>
      </c>
    </row>
    <row r="671" spans="4:10" x14ac:dyDescent="0.25">
      <c r="D671" s="6">
        <v>309012</v>
      </c>
      <c r="E671" s="1">
        <v>44657</v>
      </c>
      <c r="F671" s="11">
        <v>5</v>
      </c>
      <c r="H671" s="6">
        <v>309012</v>
      </c>
      <c r="I671" s="1">
        <v>44657</v>
      </c>
      <c r="J671" s="11">
        <v>5</v>
      </c>
    </row>
    <row r="672" spans="4:10" x14ac:dyDescent="0.25">
      <c r="D672" s="6">
        <v>309013</v>
      </c>
      <c r="E672" s="1">
        <v>44820</v>
      </c>
      <c r="F672" s="11">
        <v>3</v>
      </c>
      <c r="H672" s="6">
        <v>309013</v>
      </c>
      <c r="I672" s="1">
        <v>44820</v>
      </c>
      <c r="J672" s="11">
        <v>3</v>
      </c>
    </row>
    <row r="673" spans="4:10" x14ac:dyDescent="0.25">
      <c r="D673" s="6">
        <v>309015</v>
      </c>
      <c r="E673" s="1">
        <v>44742</v>
      </c>
      <c r="F673" s="11">
        <v>2</v>
      </c>
      <c r="H673" s="6">
        <v>309015</v>
      </c>
      <c r="I673" s="1">
        <v>44742</v>
      </c>
      <c r="J673" s="11">
        <v>2</v>
      </c>
    </row>
    <row r="674" spans="4:10" x14ac:dyDescent="0.25">
      <c r="D674" s="6">
        <v>309018</v>
      </c>
      <c r="E674" s="1">
        <v>44596</v>
      </c>
      <c r="F674" s="11">
        <v>5</v>
      </c>
      <c r="H674" s="6">
        <v>309018</v>
      </c>
      <c r="I674" s="1">
        <v>44596</v>
      </c>
      <c r="J674" s="11">
        <v>5</v>
      </c>
    </row>
    <row r="675" spans="4:10" x14ac:dyDescent="0.25">
      <c r="D675" s="6">
        <v>309019</v>
      </c>
      <c r="E675" s="1">
        <v>44804</v>
      </c>
      <c r="F675" s="11">
        <v>2</v>
      </c>
      <c r="H675" s="6">
        <v>309019</v>
      </c>
      <c r="I675" s="1">
        <v>44804</v>
      </c>
      <c r="J675" s="11">
        <v>2</v>
      </c>
    </row>
    <row r="676" spans="4:10" x14ac:dyDescent="0.25">
      <c r="D676" s="6">
        <v>309020</v>
      </c>
      <c r="E676" s="1">
        <v>44838</v>
      </c>
      <c r="F676" s="11">
        <v>4</v>
      </c>
      <c r="H676" s="6">
        <v>309020</v>
      </c>
      <c r="I676" s="1">
        <v>44838</v>
      </c>
      <c r="J676" s="11">
        <v>4</v>
      </c>
    </row>
    <row r="677" spans="4:10" x14ac:dyDescent="0.25">
      <c r="D677" s="6">
        <v>309021</v>
      </c>
      <c r="E677" s="1">
        <v>44728</v>
      </c>
      <c r="F677" s="11">
        <v>5</v>
      </c>
      <c r="H677" s="6">
        <v>309021</v>
      </c>
      <c r="I677" s="1">
        <v>44728</v>
      </c>
      <c r="J677" s="11">
        <v>5</v>
      </c>
    </row>
    <row r="678" spans="4:10" x14ac:dyDescent="0.25">
      <c r="D678" s="6">
        <v>309023</v>
      </c>
      <c r="E678" s="1">
        <v>44730</v>
      </c>
      <c r="F678" s="11">
        <v>4</v>
      </c>
      <c r="H678" s="6">
        <v>309023</v>
      </c>
      <c r="I678" s="1">
        <v>44730</v>
      </c>
      <c r="J678" s="11">
        <v>4</v>
      </c>
    </row>
    <row r="679" spans="4:10" x14ac:dyDescent="0.25">
      <c r="D679" s="6">
        <v>309026</v>
      </c>
      <c r="E679" s="1">
        <v>44816</v>
      </c>
      <c r="F679" s="11">
        <v>2</v>
      </c>
      <c r="H679" s="6">
        <v>309026</v>
      </c>
      <c r="I679" s="1">
        <v>44816</v>
      </c>
      <c r="J679" s="11">
        <v>2</v>
      </c>
    </row>
    <row r="680" spans="4:10" x14ac:dyDescent="0.25">
      <c r="D680" s="6">
        <v>309031</v>
      </c>
      <c r="E680" s="1">
        <v>44737</v>
      </c>
      <c r="F680" s="11">
        <v>2</v>
      </c>
      <c r="H680" s="6">
        <v>309031</v>
      </c>
      <c r="I680" s="1">
        <v>44737</v>
      </c>
      <c r="J680" s="11">
        <v>2</v>
      </c>
    </row>
    <row r="681" spans="4:10" x14ac:dyDescent="0.25">
      <c r="D681" s="6">
        <v>309036</v>
      </c>
      <c r="E681" s="1">
        <v>44695</v>
      </c>
      <c r="F681" s="11">
        <v>5</v>
      </c>
      <c r="H681" s="6">
        <v>309036</v>
      </c>
      <c r="I681" s="1">
        <v>44695</v>
      </c>
      <c r="J681" s="11">
        <v>5</v>
      </c>
    </row>
    <row r="682" spans="4:10" x14ac:dyDescent="0.25">
      <c r="D682" s="6">
        <v>309041</v>
      </c>
      <c r="E682" s="1">
        <v>44795</v>
      </c>
      <c r="F682" s="11">
        <v>3</v>
      </c>
      <c r="H682" s="6">
        <v>309041</v>
      </c>
      <c r="I682" s="1">
        <v>44795</v>
      </c>
      <c r="J682" s="11">
        <v>3</v>
      </c>
    </row>
    <row r="683" spans="4:10" x14ac:dyDescent="0.25">
      <c r="D683" s="6">
        <v>309043</v>
      </c>
      <c r="E683" s="1">
        <v>44821</v>
      </c>
      <c r="F683" s="11">
        <v>1</v>
      </c>
      <c r="H683" s="6">
        <v>309043</v>
      </c>
      <c r="I683" s="1">
        <v>44821</v>
      </c>
      <c r="J683" s="11">
        <v>1</v>
      </c>
    </row>
    <row r="684" spans="4:10" x14ac:dyDescent="0.25">
      <c r="D684" s="6">
        <v>309048</v>
      </c>
      <c r="E684" s="1">
        <v>44622</v>
      </c>
      <c r="F684" s="11">
        <v>1</v>
      </c>
      <c r="H684" s="6">
        <v>309048</v>
      </c>
      <c r="I684" s="1">
        <v>44622</v>
      </c>
      <c r="J684" s="11">
        <v>1</v>
      </c>
    </row>
    <row r="685" spans="4:10" x14ac:dyDescent="0.25">
      <c r="D685" s="6">
        <v>309051</v>
      </c>
      <c r="E685" s="1">
        <v>44857</v>
      </c>
      <c r="F685" s="11">
        <v>1</v>
      </c>
      <c r="H685" s="6">
        <v>309051</v>
      </c>
      <c r="I685" s="1">
        <v>44857</v>
      </c>
      <c r="J685" s="11">
        <v>1</v>
      </c>
    </row>
    <row r="686" spans="4:10" x14ac:dyDescent="0.25">
      <c r="D686" s="6">
        <v>309053</v>
      </c>
      <c r="E686" s="1">
        <v>44704</v>
      </c>
      <c r="F686" s="11">
        <v>1</v>
      </c>
      <c r="H686" s="6">
        <v>309053</v>
      </c>
      <c r="I686" s="1">
        <v>44704</v>
      </c>
      <c r="J686" s="11">
        <v>1</v>
      </c>
    </row>
    <row r="687" spans="4:10" x14ac:dyDescent="0.25">
      <c r="D687" s="6">
        <v>309057</v>
      </c>
      <c r="E687" s="1">
        <v>44582</v>
      </c>
      <c r="F687" s="11">
        <v>5</v>
      </c>
      <c r="H687" s="6">
        <v>309057</v>
      </c>
      <c r="I687" s="1">
        <v>44582</v>
      </c>
      <c r="J687" s="11">
        <v>5</v>
      </c>
    </row>
    <row r="688" spans="4:10" x14ac:dyDescent="0.25">
      <c r="D688" s="6">
        <v>309062</v>
      </c>
      <c r="E688" s="1">
        <v>44810</v>
      </c>
      <c r="F688" s="11">
        <v>4</v>
      </c>
      <c r="H688" s="6">
        <v>309062</v>
      </c>
      <c r="I688" s="1">
        <v>44810</v>
      </c>
      <c r="J688" s="11">
        <v>4</v>
      </c>
    </row>
    <row r="689" spans="4:10" x14ac:dyDescent="0.25">
      <c r="D689" s="6">
        <v>309063</v>
      </c>
      <c r="E689" s="1">
        <v>44594</v>
      </c>
      <c r="F689" s="11">
        <v>4</v>
      </c>
      <c r="H689" s="6">
        <v>309063</v>
      </c>
      <c r="I689" s="1">
        <v>44594</v>
      </c>
      <c r="J689" s="11">
        <v>4</v>
      </c>
    </row>
    <row r="690" spans="4:10" x14ac:dyDescent="0.25">
      <c r="D690" s="6">
        <v>309065</v>
      </c>
      <c r="E690" s="1">
        <v>44632</v>
      </c>
      <c r="F690" s="11">
        <v>5</v>
      </c>
      <c r="H690" s="6">
        <v>309065</v>
      </c>
      <c r="I690" s="1">
        <v>44632</v>
      </c>
      <c r="J690" s="11">
        <v>5</v>
      </c>
    </row>
    <row r="691" spans="4:10" x14ac:dyDescent="0.25">
      <c r="D691" s="6">
        <v>309070</v>
      </c>
      <c r="E691" s="1">
        <v>44604</v>
      </c>
      <c r="F691" s="11">
        <v>2</v>
      </c>
      <c r="H691" s="6">
        <v>309070</v>
      </c>
      <c r="I691" s="1">
        <v>44604</v>
      </c>
      <c r="J691" s="11">
        <v>2</v>
      </c>
    </row>
    <row r="692" spans="4:10" x14ac:dyDescent="0.25">
      <c r="D692" s="6">
        <v>309071</v>
      </c>
      <c r="E692" s="1">
        <v>44749</v>
      </c>
      <c r="F692" s="11">
        <v>6</v>
      </c>
      <c r="H692" s="6">
        <v>309071</v>
      </c>
      <c r="I692" s="1">
        <v>44749</v>
      </c>
      <c r="J692" s="11">
        <v>6</v>
      </c>
    </row>
    <row r="693" spans="4:10" x14ac:dyDescent="0.25">
      <c r="D693" s="6">
        <v>309075</v>
      </c>
      <c r="E693" s="1">
        <v>44762</v>
      </c>
      <c r="F693" s="11">
        <v>3</v>
      </c>
      <c r="H693" s="6">
        <v>309075</v>
      </c>
      <c r="I693" s="1">
        <v>44762</v>
      </c>
      <c r="J693" s="11">
        <v>3</v>
      </c>
    </row>
    <row r="694" spans="4:10" x14ac:dyDescent="0.25">
      <c r="D694" s="6">
        <v>309078</v>
      </c>
      <c r="E694" s="1">
        <v>44601</v>
      </c>
      <c r="F694" s="11">
        <v>1</v>
      </c>
      <c r="H694" s="6">
        <v>309078</v>
      </c>
      <c r="I694" s="1">
        <v>44601</v>
      </c>
      <c r="J694" s="11">
        <v>1</v>
      </c>
    </row>
    <row r="695" spans="4:10" x14ac:dyDescent="0.25">
      <c r="D695" s="6">
        <v>309082</v>
      </c>
      <c r="E695" s="1">
        <v>44742</v>
      </c>
      <c r="F695" s="11">
        <v>3</v>
      </c>
      <c r="H695" s="6">
        <v>309082</v>
      </c>
      <c r="I695" s="1">
        <v>44742</v>
      </c>
      <c r="J695" s="11">
        <v>3</v>
      </c>
    </row>
    <row r="696" spans="4:10" x14ac:dyDescent="0.25">
      <c r="D696" s="6">
        <v>309086</v>
      </c>
      <c r="E696" s="1">
        <v>44687</v>
      </c>
      <c r="F696" s="11">
        <v>5</v>
      </c>
      <c r="H696" s="6">
        <v>309086</v>
      </c>
      <c r="I696" s="1">
        <v>44687</v>
      </c>
      <c r="J696" s="11">
        <v>5</v>
      </c>
    </row>
    <row r="697" spans="4:10" x14ac:dyDescent="0.25">
      <c r="D697" s="6">
        <v>309087</v>
      </c>
      <c r="E697" s="1">
        <v>44863</v>
      </c>
      <c r="F697" s="11">
        <v>1</v>
      </c>
      <c r="H697" s="6">
        <v>309087</v>
      </c>
      <c r="I697" s="1">
        <v>44863</v>
      </c>
      <c r="J697" s="11">
        <v>1</v>
      </c>
    </row>
    <row r="698" spans="4:10" x14ac:dyDescent="0.25">
      <c r="D698" s="6">
        <v>309089</v>
      </c>
      <c r="E698" s="1">
        <v>44612</v>
      </c>
      <c r="F698" s="11">
        <v>4</v>
      </c>
      <c r="H698" s="6">
        <v>309089</v>
      </c>
      <c r="I698" s="1">
        <v>44612</v>
      </c>
      <c r="J698" s="11">
        <v>4</v>
      </c>
    </row>
    <row r="699" spans="4:10" x14ac:dyDescent="0.25">
      <c r="D699" s="6">
        <v>309090</v>
      </c>
      <c r="E699" s="1">
        <v>44861</v>
      </c>
      <c r="F699" s="11">
        <v>1</v>
      </c>
      <c r="H699" s="6">
        <v>309090</v>
      </c>
      <c r="I699" s="1">
        <v>44861</v>
      </c>
      <c r="J699" s="11">
        <v>1</v>
      </c>
    </row>
    <row r="700" spans="4:10" x14ac:dyDescent="0.25">
      <c r="D700" s="6">
        <v>309091</v>
      </c>
      <c r="E700" s="1">
        <v>44686</v>
      </c>
      <c r="F700" s="11">
        <v>1</v>
      </c>
      <c r="H700" s="6">
        <v>309091</v>
      </c>
      <c r="I700" s="1">
        <v>44686</v>
      </c>
      <c r="J700" s="11">
        <v>1</v>
      </c>
    </row>
    <row r="701" spans="4:10" x14ac:dyDescent="0.25">
      <c r="D701" s="6">
        <v>309094</v>
      </c>
      <c r="E701" s="1">
        <v>44618</v>
      </c>
      <c r="F701" s="11">
        <v>1</v>
      </c>
      <c r="H701" s="6">
        <v>309094</v>
      </c>
      <c r="I701" s="1">
        <v>44618</v>
      </c>
      <c r="J701" s="11">
        <v>1</v>
      </c>
    </row>
    <row r="702" spans="4:10" x14ac:dyDescent="0.25">
      <c r="D702" s="6">
        <v>309095</v>
      </c>
      <c r="E702" s="1">
        <v>44767</v>
      </c>
      <c r="F702" s="11">
        <v>5</v>
      </c>
      <c r="H702" s="6">
        <v>309095</v>
      </c>
      <c r="I702" s="1">
        <v>44767</v>
      </c>
      <c r="J702" s="11">
        <v>5</v>
      </c>
    </row>
    <row r="703" spans="4:10" x14ac:dyDescent="0.25">
      <c r="D703" s="6">
        <v>309096</v>
      </c>
      <c r="E703" s="1">
        <v>44576</v>
      </c>
      <c r="F703" s="11">
        <v>2</v>
      </c>
      <c r="H703" s="6">
        <v>309096</v>
      </c>
      <c r="I703" s="1">
        <v>44576</v>
      </c>
      <c r="J703" s="11">
        <v>2</v>
      </c>
    </row>
    <row r="704" spans="4:10" x14ac:dyDescent="0.25">
      <c r="D704" s="6">
        <v>309100</v>
      </c>
      <c r="E704" s="1">
        <v>44796</v>
      </c>
      <c r="F704" s="11">
        <v>5</v>
      </c>
      <c r="H704" s="6">
        <v>309100</v>
      </c>
      <c r="I704" s="1">
        <v>44796</v>
      </c>
      <c r="J704" s="11">
        <v>5</v>
      </c>
    </row>
    <row r="705" spans="4:10" x14ac:dyDescent="0.25">
      <c r="D705" s="6">
        <v>309104</v>
      </c>
      <c r="E705" s="1">
        <v>44780</v>
      </c>
      <c r="F705" s="11">
        <v>1</v>
      </c>
      <c r="H705" s="6">
        <v>309104</v>
      </c>
      <c r="I705" s="1">
        <v>44780</v>
      </c>
      <c r="J705" s="11">
        <v>1</v>
      </c>
    </row>
    <row r="706" spans="4:10" x14ac:dyDescent="0.25">
      <c r="D706" s="6">
        <v>309107</v>
      </c>
      <c r="E706" s="1">
        <v>44702</v>
      </c>
      <c r="F706" s="11">
        <v>1</v>
      </c>
      <c r="H706" s="6">
        <v>309107</v>
      </c>
      <c r="I706" s="1">
        <v>44702</v>
      </c>
      <c r="J706" s="11">
        <v>1</v>
      </c>
    </row>
    <row r="707" spans="4:10" x14ac:dyDescent="0.25">
      <c r="D707" s="6">
        <v>309109</v>
      </c>
      <c r="E707" s="1">
        <v>44607</v>
      </c>
      <c r="F707" s="11">
        <v>2</v>
      </c>
      <c r="H707" s="6">
        <v>309109</v>
      </c>
      <c r="I707" s="1">
        <v>44607</v>
      </c>
      <c r="J707" s="11">
        <v>2</v>
      </c>
    </row>
    <row r="708" spans="4:10" x14ac:dyDescent="0.25">
      <c r="D708" s="6">
        <v>309110</v>
      </c>
      <c r="E708" s="1">
        <v>44630</v>
      </c>
      <c r="F708" s="11">
        <v>3</v>
      </c>
      <c r="H708" s="6">
        <v>309110</v>
      </c>
      <c r="I708" s="1">
        <v>44630</v>
      </c>
      <c r="J708" s="11">
        <v>3</v>
      </c>
    </row>
    <row r="709" spans="4:10" x14ac:dyDescent="0.25">
      <c r="D709" s="6">
        <v>309113</v>
      </c>
      <c r="E709" s="1">
        <v>44734</v>
      </c>
      <c r="F709" s="11">
        <v>3</v>
      </c>
      <c r="H709" s="6">
        <v>309113</v>
      </c>
      <c r="I709" s="1">
        <v>44734</v>
      </c>
      <c r="J709" s="11">
        <v>3</v>
      </c>
    </row>
    <row r="710" spans="4:10" x14ac:dyDescent="0.25">
      <c r="D710" s="6">
        <v>309114</v>
      </c>
      <c r="E710" s="1">
        <v>44570</v>
      </c>
      <c r="F710" s="11">
        <v>1</v>
      </c>
      <c r="H710" s="6">
        <v>309114</v>
      </c>
      <c r="I710" s="1">
        <v>44570</v>
      </c>
      <c r="J710" s="11">
        <v>1</v>
      </c>
    </row>
    <row r="711" spans="4:10" x14ac:dyDescent="0.25">
      <c r="D711" s="6">
        <v>309115</v>
      </c>
      <c r="E711" s="1">
        <v>44837</v>
      </c>
      <c r="F711" s="11">
        <v>1</v>
      </c>
      <c r="H711" s="6">
        <v>309115</v>
      </c>
      <c r="I711" s="1">
        <v>44837</v>
      </c>
      <c r="J711" s="11">
        <v>1</v>
      </c>
    </row>
    <row r="712" spans="4:10" x14ac:dyDescent="0.25">
      <c r="D712" s="6">
        <v>309117</v>
      </c>
      <c r="E712" s="1">
        <v>44637</v>
      </c>
      <c r="F712" s="11">
        <v>1</v>
      </c>
      <c r="H712" s="6">
        <v>309117</v>
      </c>
      <c r="I712" s="1">
        <v>44637</v>
      </c>
      <c r="J712" s="11">
        <v>1</v>
      </c>
    </row>
    <row r="713" spans="4:10" x14ac:dyDescent="0.25">
      <c r="D713" s="6">
        <v>309118</v>
      </c>
      <c r="E713" s="1">
        <v>44840</v>
      </c>
      <c r="F713" s="11">
        <v>5</v>
      </c>
      <c r="H713" s="6">
        <v>309118</v>
      </c>
      <c r="I713" s="1">
        <v>44840</v>
      </c>
      <c r="J713" s="11">
        <v>5</v>
      </c>
    </row>
    <row r="714" spans="4:10" x14ac:dyDescent="0.25">
      <c r="D714" s="6">
        <v>309120</v>
      </c>
      <c r="E714" s="1">
        <v>44658</v>
      </c>
      <c r="F714" s="11">
        <v>2</v>
      </c>
      <c r="H714" s="6">
        <v>309120</v>
      </c>
      <c r="I714" s="1">
        <v>44658</v>
      </c>
      <c r="J714" s="11">
        <v>2</v>
      </c>
    </row>
    <row r="715" spans="4:10" ht="15.75" thickBot="1" x14ac:dyDescent="0.3">
      <c r="D715" s="7" t="s">
        <v>3</v>
      </c>
      <c r="E715" s="15">
        <v>44564</v>
      </c>
      <c r="F715" s="13">
        <v>1981</v>
      </c>
      <c r="H715" s="10"/>
      <c r="I715" s="19"/>
      <c r="J715" s="20"/>
    </row>
  </sheetData>
  <mergeCells count="1">
    <mergeCell ref="L15:V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Базовый</vt:lpstr>
      <vt:lpstr>Цепной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D.Elistratov</dc:creator>
  <cp:lastModifiedBy>DA  151.2.1</cp:lastModifiedBy>
  <dcterms:created xsi:type="dcterms:W3CDTF">2023-06-19T10:48:31Z</dcterms:created>
  <dcterms:modified xsi:type="dcterms:W3CDTF">2026-02-06T16:23:45Z</dcterms:modified>
</cp:coreProperties>
</file>