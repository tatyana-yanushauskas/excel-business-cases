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Модуль 4. Обработка данных\"/>
    </mc:Choice>
  </mc:AlternateContent>
  <xr:revisionPtr revIDLastSave="0" documentId="13_ncr:1_{16B25FCD-DBB0-45C2-A35A-AF333F82CCD6}" xr6:coauthVersionLast="47" xr6:coauthVersionMax="47" xr10:uidLastSave="{00000000-0000-0000-0000-000000000000}"/>
  <bookViews>
    <workbookView xWindow="-120" yWindow="-120" windowWidth="24240" windowHeight="13020" activeTab="1" xr2:uid="{E867D56A-0665-A54D-B367-F5243E28BD1E}"/>
  </bookViews>
  <sheets>
    <sheet name="Время уроков" sheetId="7" r:id="rId1"/>
    <sheet name="Цвет глаз" sheetId="2" r:id="rId2"/>
    <sheet name="ВВП ППС" sheetId="20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5" i="20" l="1"/>
  <c r="E205" i="20"/>
  <c r="F205" i="20"/>
  <c r="C205" i="20"/>
  <c r="K10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987A7-293F-4C29-BE7A-DD7A43C1F4BC}" keepAlive="1" name="ThisWorkbookDataModel" description="Модель данных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<sst xmlns="http://schemas.openxmlformats.org/spreadsheetml/2006/main" count="426" uniqueCount="238">
  <si>
    <t>User ID</t>
  </si>
  <si>
    <t>ID Class</t>
  </si>
  <si>
    <t xml:space="preserve">Class Start </t>
  </si>
  <si>
    <t>Date Time</t>
  </si>
  <si>
    <t>Class End Date Time</t>
  </si>
  <si>
    <t>Class Removed Date Time</t>
  </si>
  <si>
    <t>ID Teacher</t>
  </si>
  <si>
    <t>Class Status</t>
  </si>
  <si>
    <t>Class Status Date Time</t>
  </si>
  <si>
    <t>Class Type</t>
  </si>
  <si>
    <t>Продолжительность урока</t>
  </si>
  <si>
    <t>success</t>
  </si>
  <si>
    <t>regular</t>
  </si>
  <si>
    <t>canceled_by_student</t>
  </si>
  <si>
    <t>single</t>
  </si>
  <si>
    <t>canceled_by_teacher</t>
  </si>
  <si>
    <t>moved</t>
  </si>
  <si>
    <t>trial</t>
  </si>
  <si>
    <t/>
  </si>
  <si>
    <t>Число элементов в столбце F2</t>
  </si>
  <si>
    <t>Названия строк</t>
  </si>
  <si>
    <t>Amber</t>
  </si>
  <si>
    <t>Blue</t>
  </si>
  <si>
    <t>Brown</t>
  </si>
  <si>
    <t>eye_color</t>
  </si>
  <si>
    <t>Gray</t>
  </si>
  <si>
    <t>Green</t>
  </si>
  <si>
    <t>Hazel</t>
  </si>
  <si>
    <t>Общий итог</t>
  </si>
  <si>
    <t>№</t>
  </si>
  <si>
    <t>Страна / территория</t>
  </si>
  <si>
    <t>Данные ВБ[1] 2022</t>
  </si>
  <si>
    <t>Данные ВБ[1] 2023</t>
  </si>
  <si>
    <t>Данные МВФ[2] 2021</t>
  </si>
  <si>
    <t>Данные МВФ[2] 2022</t>
  </si>
  <si>
    <t>Люксембург</t>
  </si>
  <si>
    <t>Сингапур</t>
  </si>
  <si>
    <t>Ирландия</t>
  </si>
  <si>
    <t>Норвегия</t>
  </si>
  <si>
    <t>Катар</t>
  </si>
  <si>
    <t>Бермуды, Великобритания</t>
  </si>
  <si>
    <t>Острова Кайман, Великобритания</t>
  </si>
  <si>
    <t>ОАЭ</t>
  </si>
  <si>
    <t>Швейцария</t>
  </si>
  <si>
    <t>США</t>
  </si>
  <si>
    <t>Сан-Марино</t>
  </si>
  <si>
    <t>Дания</t>
  </si>
  <si>
    <t>Нидерланды</t>
  </si>
  <si>
    <t>Бруней</t>
  </si>
  <si>
    <t>Исландия</t>
  </si>
  <si>
    <t>Гонконг, Китай</t>
  </si>
  <si>
    <t>Китайская Республика (Тайвань)</t>
  </si>
  <si>
    <t>Австрия</t>
  </si>
  <si>
    <t>Андорра</t>
  </si>
  <si>
    <t>Бельгия</t>
  </si>
  <si>
    <t>Швеция</t>
  </si>
  <si>
    <t>Германия</t>
  </si>
  <si>
    <t>Австралия</t>
  </si>
  <si>
    <t>Бахрейн</t>
  </si>
  <si>
    <t>Саудовская Аравия</t>
  </si>
  <si>
    <t>Финляндия</t>
  </si>
  <si>
    <t>Канада</t>
  </si>
  <si>
    <t>Кувейт</t>
  </si>
  <si>
    <t>Мальта</t>
  </si>
  <si>
    <t>Франция</t>
  </si>
  <si>
    <t>Макао, Китай</t>
  </si>
  <si>
    <t>Великобритания</t>
  </si>
  <si>
    <t>Новая Зеландия</t>
  </si>
  <si>
    <t>Италия</t>
  </si>
  <si>
    <t>Республика Корея</t>
  </si>
  <si>
    <t>Словения</t>
  </si>
  <si>
    <t>Чехия</t>
  </si>
  <si>
    <t>Кипр</t>
  </si>
  <si>
    <t>Израиль</t>
  </si>
  <si>
    <t>Литва</t>
  </si>
  <si>
    <t>Эстония</t>
  </si>
  <si>
    <t>Испания</t>
  </si>
  <si>
    <t>Аруба, Нидерланды</t>
  </si>
  <si>
    <t>Япония</t>
  </si>
  <si>
    <t>Польша</t>
  </si>
  <si>
    <t>Венгрия</t>
  </si>
  <si>
    <t>Румыния</t>
  </si>
  <si>
    <t>Синт-Мартен, Нидерланды</t>
  </si>
  <si>
    <t>Оман</t>
  </si>
  <si>
    <t>Португалия</t>
  </si>
  <si>
    <t>Гайана</t>
  </si>
  <si>
    <t>Пуэрто-Рико, США</t>
  </si>
  <si>
    <t>Хорватия</t>
  </si>
  <si>
    <t>Багамские Острова</t>
  </si>
  <si>
    <t>Латвия</t>
  </si>
  <si>
    <t>Панама</t>
  </si>
  <si>
    <t>Словакия</t>
  </si>
  <si>
    <t>Турция</t>
  </si>
  <si>
    <t>Греция</t>
  </si>
  <si>
    <t>Россия</t>
  </si>
  <si>
    <t>Сейшельские Острова</t>
  </si>
  <si>
    <t>Сент-Китс и Невис</t>
  </si>
  <si>
    <t>Болгария</t>
  </si>
  <si>
    <t>Малайзия</t>
  </si>
  <si>
    <t>Казахстан</t>
  </si>
  <si>
    <t>Чили</t>
  </si>
  <si>
    <t>Уругвай</t>
  </si>
  <si>
    <t>Тринидад и Тобаго</t>
  </si>
  <si>
    <t>Черногория</t>
  </si>
  <si>
    <t>Маврикий</t>
  </si>
  <si>
    <t>Аргентина</t>
  </si>
  <si>
    <t>Антигуа и Барбуда</t>
  </si>
  <si>
    <t>Кюрасао, Нидерланды</t>
  </si>
  <si>
    <t>Коста-Рика</t>
  </si>
  <si>
    <t>Мальдивы</t>
  </si>
  <si>
    <t>Сербия</t>
  </si>
  <si>
    <t>Ливия</t>
  </si>
  <si>
    <t>Теркс и Кайкос, Великобритания</t>
  </si>
  <si>
    <t>Доминиканская Республика</t>
  </si>
  <si>
    <t>Беларусь</t>
  </si>
  <si>
    <t>Мексика</t>
  </si>
  <si>
    <t>Китай</t>
  </si>
  <si>
    <t>Таиланд</t>
  </si>
  <si>
    <t>Босния и Герцеговина</t>
  </si>
  <si>
    <t>Колумбия</t>
  </si>
  <si>
    <t>Северная Македония</t>
  </si>
  <si>
    <t>Грузия</t>
  </si>
  <si>
    <t>Армения</t>
  </si>
  <si>
    <t>Албания</t>
  </si>
  <si>
    <t>Ботсвана</t>
  </si>
  <si>
    <t>Туркменистан</t>
  </si>
  <si>
    <t>Иран</t>
  </si>
  <si>
    <t>Палау</t>
  </si>
  <si>
    <t>Барбадос</t>
  </si>
  <si>
    <t>Бразилия</t>
  </si>
  <si>
    <t>Азербайджан</t>
  </si>
  <si>
    <t>Сент-Люсия</t>
  </si>
  <si>
    <t>Суринам</t>
  </si>
  <si>
    <t>Экваториальная Гвинея</t>
  </si>
  <si>
    <t>Сент-Винсент и Гренадины</t>
  </si>
  <si>
    <t>Гренада</t>
  </si>
  <si>
    <t>Габон</t>
  </si>
  <si>
    <t>Парагвай</t>
  </si>
  <si>
    <t>ЮАР</t>
  </si>
  <si>
    <t>Молдова</t>
  </si>
  <si>
    <t>Ливан</t>
  </si>
  <si>
    <t>Египет</t>
  </si>
  <si>
    <t>Перу</t>
  </si>
  <si>
    <t>Косово</t>
  </si>
  <si>
    <t>Индонезия</t>
  </si>
  <si>
    <t>Шри-Ланка</t>
  </si>
  <si>
    <t>Монголия</t>
  </si>
  <si>
    <t>Фиджи</t>
  </si>
  <si>
    <t>Доминика</t>
  </si>
  <si>
    <t>Вьетнам</t>
  </si>
  <si>
    <t>Алжир</t>
  </si>
  <si>
    <t>Науру</t>
  </si>
  <si>
    <t>Бутан</t>
  </si>
  <si>
    <t>Эквадор</t>
  </si>
  <si>
    <t>Украина</t>
  </si>
  <si>
    <t>Тунис</t>
  </si>
  <si>
    <t>Ямайка</t>
  </si>
  <si>
    <t>Белиз</t>
  </si>
  <si>
    <t>Намибия</t>
  </si>
  <si>
    <t>Сальвадор</t>
  </si>
  <si>
    <t>Иордания</t>
  </si>
  <si>
    <t>Ирак</t>
  </si>
  <si>
    <t>Гватемала</t>
  </si>
  <si>
    <t>Эсватини</t>
  </si>
  <si>
    <t>Филиппины</t>
  </si>
  <si>
    <t>Боливия</t>
  </si>
  <si>
    <t>Узбекистан</t>
  </si>
  <si>
    <t>Марокко</t>
  </si>
  <si>
    <t>Лаос</t>
  </si>
  <si>
    <t>Кабо-Верде</t>
  </si>
  <si>
    <t>Индия</t>
  </si>
  <si>
    <t>Тонга</t>
  </si>
  <si>
    <t>Бангладеш</t>
  </si>
  <si>
    <t>Маршалловы Острова</t>
  </si>
  <si>
    <t>Венесуэла</t>
  </si>
  <si>
    <t>Ангола</t>
  </si>
  <si>
    <t>Никарагуа</t>
  </si>
  <si>
    <t>Государство Палестина</t>
  </si>
  <si>
    <t>Гондурас</t>
  </si>
  <si>
    <t>Кот-д’Ивуар</t>
  </si>
  <si>
    <t>Гана</t>
  </si>
  <si>
    <t>Пакистан</t>
  </si>
  <si>
    <t>Мавритания</t>
  </si>
  <si>
    <t>Кыргызстан</t>
  </si>
  <si>
    <t>Самоа</t>
  </si>
  <si>
    <t>Джибути</t>
  </si>
  <si>
    <t>Нигерия</t>
  </si>
  <si>
    <t>Кения</t>
  </si>
  <si>
    <t>Тувалу</t>
  </si>
  <si>
    <t>Камбоджа</t>
  </si>
  <si>
    <t>Таджикистан</t>
  </si>
  <si>
    <t>Мьянма</t>
  </si>
  <si>
    <t>Восточный Тимор</t>
  </si>
  <si>
    <t>Сан-Томе и Принсипи</t>
  </si>
  <si>
    <t>Непал</t>
  </si>
  <si>
    <t>Папуа — Новая Гвинея</t>
  </si>
  <si>
    <t>Камерун</t>
  </si>
  <si>
    <t>Судан</t>
  </si>
  <si>
    <t>Сенегал</t>
  </si>
  <si>
    <t>Бенин</t>
  </si>
  <si>
    <t>Замбия</t>
  </si>
  <si>
    <t>Микронезия</t>
  </si>
  <si>
    <t>Коморы</t>
  </si>
  <si>
    <t>Республика Конго</t>
  </si>
  <si>
    <t>Гаити</t>
  </si>
  <si>
    <t>Вануату</t>
  </si>
  <si>
    <t>Гвинея</t>
  </si>
  <si>
    <t>Танзания</t>
  </si>
  <si>
    <t>Эфиопия</t>
  </si>
  <si>
    <t>Руанда</t>
  </si>
  <si>
    <t>Лесото</t>
  </si>
  <si>
    <t>Уганда</t>
  </si>
  <si>
    <t>Соломоновы Острова</t>
  </si>
  <si>
    <t>Того</t>
  </si>
  <si>
    <t>Буркина-Фасо</t>
  </si>
  <si>
    <t>Зимбабве</t>
  </si>
  <si>
    <t>Мали</t>
  </si>
  <si>
    <t>Гамбия</t>
  </si>
  <si>
    <t>Кирибати</t>
  </si>
  <si>
    <t>Гвинея-Бисау</t>
  </si>
  <si>
    <t>Сьерра-Леоне</t>
  </si>
  <si>
    <t>Афганистан</t>
  </si>
  <si>
    <t>Эритрея</t>
  </si>
  <si>
    <t>Йемен</t>
  </si>
  <si>
    <t>Мадагаскар</t>
  </si>
  <si>
    <t>Малави</t>
  </si>
  <si>
    <t>Либерия</t>
  </si>
  <si>
    <t>Чад</t>
  </si>
  <si>
    <t>Нигер</t>
  </si>
  <si>
    <t>Мозамбик</t>
  </si>
  <si>
    <t>Сомали</t>
  </si>
  <si>
    <t>ДР Конго</t>
  </si>
  <si>
    <t>ЦАР</t>
  </si>
  <si>
    <t>Бурунди</t>
  </si>
  <si>
    <t>Южный Судан</t>
  </si>
  <si>
    <t>Сирия</t>
  </si>
  <si>
    <t>Куба</t>
  </si>
  <si>
    <t>КНДР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</si>
</sst>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2" borderId="0" xfId="0" applyNumberFormat="1" applyFill="1"/>
  </cellXfs>
  <cellStyles count="1">
    <cellStyle name="Обычный" xfId="0" builtinId="0"/>
  </cellStyles>
  <dxfs count="20">
    <dxf>
      <numFmt numFmtId="2" formatCode="0.00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83.87899675926" createdVersion="5" refreshedVersion="7" minRefreshableVersion="3" recordCount="0" supportSubquery="1" supportAdvancedDrill="1" xr:uid="{6D36DE49-E8BB-42BD-9E9B-309815E11365}">
  <cacheSource type="external" connectionId="1"/>
  <cacheFields count="2">
    <cacheField name="[Measures].[Число элементов в столбце F2]" caption="Число элементов в столбце F2" numFmtId="0" hierarchy="4" level="32767"/>
    <cacheField name="[eye_colors].[F3].[F3]" caption="F3" numFmtId="0" hierarchy="1" level="1">
      <sharedItems count="7">
        <s v="Amber"/>
        <s v="Blue"/>
        <s v="Brown"/>
        <s v="eye_color"/>
        <s v="Gray"/>
        <s v="Green"/>
        <s v="Hazel"/>
      </sharedItems>
    </cacheField>
  </cacheFields>
  <cacheHierarchies count="5">
    <cacheHierarchy uniqueName="[eye_colors].[F2]" caption="F2" attribute="1" defaultMemberUniqueName="[eye_colors].[F2].[All]" allUniqueName="[eye_colors].[F2].[All]" dimensionUniqueName="[eye_colors]" displayFolder="" count="0" memberValueDatatype="130" unbalanced="0"/>
    <cacheHierarchy uniqueName="[eye_colors].[F3]" caption="F3" attribute="1" defaultMemberUniqueName="[eye_colors].[F3].[All]" allUniqueName="[eye_colors].[F3].[All]" dimensionUniqueName="[eye_colors]" displayFolder="" count="2" memberValueDatatype="130" unbalanced="0">
      <fieldsUsage count="2">
        <fieldUsage x="-1"/>
        <fieldUsage x="1"/>
      </fieldsUsage>
    </cacheHierarchy>
    <cacheHierarchy uniqueName="[Measures].[__XL_Count eye_colors]" caption="__XL_Count eye_colors" measure="1" displayFolder="" measureGroup="eye_color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F2]" caption="Число элементов в столбце F2" measure="1" displayFolder="" measureGroup="eye_colo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eye_colors" uniqueName="[eye_colors]" caption="eye_colors"/>
    <dimension measure="1" name="Measures" uniqueName="[Measures]" caption="Measures"/>
  </dimensions>
  <measureGroups count="1">
    <measureGroup name="eye_colors" caption="eye_color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53CE8-BA24-4DFC-B78D-BF9BB91978EA}" name="Сводная таблица1" cacheId="0" applyNumberFormats="0" applyBorderFormats="0" applyFontFormats="0" applyPatternFormats="0" applyAlignmentFormats="0" applyWidthHeightFormats="1" dataCaption="Значения" tag="ae3cf948-d070-4bcb-80b9-0d765b93b6fb" updatedVersion="7" minRefreshableVersion="3" useAutoFormatting="1" subtotalHiddenItems="1" itemPrintTitles="1" createdVersion="5" indent="0" outline="1" outlineData="1" multipleFieldFilters="0">
  <location ref="A1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Число элементов в столбце F2" fld="0" subtotal="count" showDataAs="percentOfTotal" baseField="1" baseItem="0" numFmtId="10"/>
  </dataFields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ye_col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37A39E-2663-4331-B373-D258F4DE6232}" name="Уроки__4" displayName="Уроки__4" ref="A1:K100" totalsRowCount="1">
  <autoFilter ref="A1:K99" xr:uid="{A137A39E-2663-4331-B373-D258F4DE6232}"/>
  <tableColumns count="11">
    <tableColumn id="1" xr3:uid="{C14A7C48-1AD1-4A79-A818-F3299FB50DA8}" name="User ID"/>
    <tableColumn id="2" xr3:uid="{3B396AED-EE01-4ABF-ADA3-310180A96889}" name="ID Class"/>
    <tableColumn id="3" xr3:uid="{8F37429E-457E-475E-BF94-A31CB0327DB0}" name="Class Start " dataDxfId="19" totalsRowDxfId="18"/>
    <tableColumn id="4" xr3:uid="{4D5382B2-5D47-4FE4-8490-E36FE400F3E0}" name="Date Time" dataDxfId="17" totalsRowDxfId="16"/>
    <tableColumn id="5" xr3:uid="{61EB6B70-9B16-47B6-A2AB-4462D678487D}" name="Class End Date Time" dataDxfId="15" totalsRowDxfId="14"/>
    <tableColumn id="6" xr3:uid="{89B19B7E-24F9-4A1A-B615-3256044ED249}" name="Class Removed Date Time" dataDxfId="13" totalsRowDxfId="12"/>
    <tableColumn id="7" xr3:uid="{99ECCF66-2C6B-4C6F-B404-6AA1772CC2C0}" name="ID Teacher"/>
    <tableColumn id="8" xr3:uid="{368B5BEB-017B-4FD6-A1F7-F723D14B19E5}" name="Class Status" dataDxfId="11" totalsRowDxfId="10"/>
    <tableColumn id="9" xr3:uid="{4C5B27D4-F68E-45ED-9C36-2E63F7A252FB}" name="Class Status Date Time" dataDxfId="9" totalsRowDxfId="8"/>
    <tableColumn id="10" xr3:uid="{270F80D8-FE1F-4684-8D22-EAA5A44A898D}" name="Class Type" dataDxfId="7" totalsRowDxfId="6"/>
    <tableColumn id="11" xr3:uid="{699B7723-243C-435D-9E7D-D0C65E35995A}" name="Продолжительность урока" totalsRowFunction="custom" totalsRowDxfId="5">
      <totalsRowFormula>AVERAGE(Уроки__4[Продолжительность урока])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0CF41-89A6-4624-8659-FF725ED98DE2}" name="Список_стран_и_территорий_по_ВВП__ППС__на_душу_населения__в_долларах__11" displayName="Список_стран_и_территорий_по_ВВП__ППС__на_душу_населения__в_долларах__11" ref="A1:F205" totalsRowCount="1">
  <autoFilter ref="A1:F204" xr:uid="{CCD0CF41-89A6-4624-8659-FF725ED98DE2}"/>
  <tableColumns count="6">
    <tableColumn id="1" xr3:uid="{F5721E64-3A08-43A5-966D-614F7725792E}" name="№" dataDxfId="4" totalsRowDxfId="3"/>
    <tableColumn id="2" xr3:uid="{29E4F20D-E579-435E-BE3A-1CE4E6095DC2}" name="Страна / территория" dataDxfId="2" totalsRowDxfId="1"/>
    <tableColumn id="3" xr3:uid="{C842966C-21ED-4432-A398-FB61A9F03E88}" name="Данные ВБ[1] 2022" totalsRowFunction="custom">
      <totalsRowFormula>AVERAGE(Список_стран_и_территорий_по_ВВП__ППС__на_душу_населения__в_долларах__11[Данные ВБ'[1'] 2022])</totalsRowFormula>
    </tableColumn>
    <tableColumn id="4" xr3:uid="{084CB6A5-35D1-4D0A-B53F-7BD45BE7AB5D}" name="Данные ВБ[1] 2023" totalsRowFunction="custom">
      <totalsRowFormula>AVERAGE(Список_стран_и_территорий_по_ВВП__ППС__на_душу_населения__в_долларах__11[Данные ВБ'[1'] 2023])</totalsRowFormula>
    </tableColumn>
    <tableColumn id="5" xr3:uid="{8699B004-5DBC-4290-B9A5-855D45D4F544}" name="Данные МВФ[2] 2021" totalsRowFunction="custom">
      <totalsRowFormula>AVERAGE(Список_стран_и_территорий_по_ВВП__ППС__на_душу_населения__в_долларах__11[Данные МВФ'[2'] 2021])</totalsRowFormula>
    </tableColumn>
    <tableColumn id="6" xr3:uid="{1519C48D-CB52-426E-8E4B-AC01A7CB3804}" name="Данные МВФ[2] 2022" totalsRowFunction="custom" totalsRowDxfId="0">
      <totalsRowFormula>AVERAGE(Список_стран_и_территорий_по_ВВП__ППС__на_душу_населения__в_долларах__11[Данные МВФ'[2'] 2022])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2C1-EB4F-4FAE-AC97-4A07FF0FE1FC}">
  <dimension ref="A1:K100"/>
  <sheetViews>
    <sheetView workbookViewId="0">
      <selection sqref="A1:K100"/>
    </sheetView>
  </sheetViews>
  <sheetFormatPr defaultRowHeight="15.75" x14ac:dyDescent="0.25"/>
  <cols>
    <col min="1" max="1" width="9.875" bestFit="1" customWidth="1"/>
    <col min="2" max="2" width="9.125" bestFit="1" customWidth="1"/>
    <col min="3" max="3" width="12.125" bestFit="1" customWidth="1"/>
    <col min="4" max="4" width="11.5" bestFit="1" customWidth="1"/>
    <col min="5" max="5" width="20" bestFit="1" customWidth="1"/>
    <col min="6" max="6" width="24.875" bestFit="1" customWidth="1"/>
    <col min="7" max="7" width="11.875" bestFit="1" customWidth="1"/>
    <col min="8" max="8" width="18.375" bestFit="1" customWidth="1"/>
    <col min="9" max="9" width="22.125" bestFit="1" customWidth="1"/>
    <col min="10" max="10" width="11.5" bestFit="1" customWidth="1"/>
    <col min="11" max="11" width="2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365003359</v>
      </c>
      <c r="B2">
        <v>3510785</v>
      </c>
      <c r="C2" s="1">
        <v>42743</v>
      </c>
      <c r="D2" s="3">
        <v>0.4513888888888889</v>
      </c>
      <c r="E2" s="2">
        <v>42743.493750000001</v>
      </c>
      <c r="F2" s="2"/>
      <c r="G2">
        <v>160022</v>
      </c>
      <c r="H2" t="s">
        <v>11</v>
      </c>
      <c r="I2" s="2">
        <v>42743.502083333333</v>
      </c>
      <c r="J2" t="s">
        <v>12</v>
      </c>
      <c r="K2">
        <v>60.9</v>
      </c>
    </row>
    <row r="3" spans="1:11" x14ac:dyDescent="0.25">
      <c r="A3">
        <v>365003359</v>
      </c>
      <c r="B3">
        <v>4499938</v>
      </c>
      <c r="C3" s="1">
        <v>43015</v>
      </c>
      <c r="D3" s="3">
        <v>0.45763888888888887</v>
      </c>
      <c r="E3" s="2">
        <v>43015.468055555553</v>
      </c>
      <c r="F3" s="2"/>
      <c r="G3">
        <v>140609</v>
      </c>
      <c r="H3" t="s">
        <v>13</v>
      </c>
      <c r="I3" s="2">
        <v>43015.439583333333</v>
      </c>
      <c r="J3" t="s">
        <v>12</v>
      </c>
      <c r="K3">
        <v>15.26666666</v>
      </c>
    </row>
    <row r="4" spans="1:11" x14ac:dyDescent="0.25">
      <c r="A4">
        <v>365003359</v>
      </c>
      <c r="B4">
        <v>3654724</v>
      </c>
      <c r="C4" s="1">
        <v>42798</v>
      </c>
      <c r="D4" s="3">
        <v>0.69861111111111107</v>
      </c>
      <c r="E4" s="2">
        <v>42798.751388888886</v>
      </c>
      <c r="F4" s="2"/>
      <c r="G4">
        <v>140609</v>
      </c>
      <c r="H4" t="s">
        <v>11</v>
      </c>
      <c r="I4" s="2">
        <v>42798.790972222225</v>
      </c>
      <c r="J4" t="s">
        <v>12</v>
      </c>
      <c r="K4">
        <v>75.650000000000006</v>
      </c>
    </row>
    <row r="5" spans="1:11" x14ac:dyDescent="0.25">
      <c r="A5">
        <v>365003359</v>
      </c>
      <c r="B5">
        <v>3705522</v>
      </c>
      <c r="C5" s="1">
        <v>42822</v>
      </c>
      <c r="D5" s="3">
        <v>0.79374999999999996</v>
      </c>
      <c r="E5" s="2">
        <v>42822.85833333333</v>
      </c>
      <c r="F5" s="2"/>
      <c r="G5">
        <v>140609</v>
      </c>
      <c r="H5" t="s">
        <v>11</v>
      </c>
      <c r="I5" s="2">
        <v>42822.816666666666</v>
      </c>
      <c r="J5" t="s">
        <v>14</v>
      </c>
      <c r="K5">
        <v>92.1</v>
      </c>
    </row>
    <row r="6" spans="1:11" x14ac:dyDescent="0.25">
      <c r="A6">
        <v>365003359</v>
      </c>
      <c r="B6">
        <v>4384418</v>
      </c>
      <c r="C6" s="1">
        <v>42990</v>
      </c>
      <c r="D6" s="3">
        <v>0.82152777777777775</v>
      </c>
      <c r="E6" s="2">
        <v>42990.827777777777</v>
      </c>
      <c r="F6" s="2"/>
      <c r="G6">
        <v>140609</v>
      </c>
      <c r="H6" t="s">
        <v>15</v>
      </c>
      <c r="I6" s="2">
        <v>42991.383333333331</v>
      </c>
      <c r="J6" t="s">
        <v>12</v>
      </c>
      <c r="K6">
        <v>9.0499999990000006</v>
      </c>
    </row>
    <row r="7" spans="1:11" x14ac:dyDescent="0.25">
      <c r="A7">
        <v>365003359</v>
      </c>
      <c r="B7">
        <v>3890493</v>
      </c>
      <c r="C7" s="1">
        <v>42871</v>
      </c>
      <c r="D7" s="3">
        <v>0.77222222222222225</v>
      </c>
      <c r="E7" s="2">
        <v>42871.831944444442</v>
      </c>
      <c r="F7" s="2"/>
      <c r="G7">
        <v>140609</v>
      </c>
      <c r="H7" t="s">
        <v>11</v>
      </c>
      <c r="I7" s="2">
        <v>42871.845833333333</v>
      </c>
      <c r="J7" t="s">
        <v>14</v>
      </c>
      <c r="K7">
        <v>86.066666670000004</v>
      </c>
    </row>
    <row r="8" spans="1:11" x14ac:dyDescent="0.25">
      <c r="A8">
        <v>365003359</v>
      </c>
      <c r="B8">
        <v>4010417</v>
      </c>
      <c r="C8" s="1">
        <v>42899</v>
      </c>
      <c r="D8" s="3">
        <v>0.77361111111111114</v>
      </c>
      <c r="E8" s="2">
        <v>42899.85833333333</v>
      </c>
      <c r="F8" s="2"/>
      <c r="G8">
        <v>140609</v>
      </c>
      <c r="H8" t="s">
        <v>11</v>
      </c>
      <c r="I8" s="2">
        <v>42899.854166666664</v>
      </c>
      <c r="J8" t="s">
        <v>12</v>
      </c>
      <c r="K8">
        <v>122.1</v>
      </c>
    </row>
    <row r="9" spans="1:11" x14ac:dyDescent="0.25">
      <c r="A9">
        <v>365003359</v>
      </c>
      <c r="B9">
        <v>3576734</v>
      </c>
      <c r="C9" s="1">
        <v>42770</v>
      </c>
      <c r="D9" s="3">
        <v>0.69097222222222221</v>
      </c>
      <c r="E9" s="2">
        <v>42770.731249999997</v>
      </c>
      <c r="F9" s="2"/>
      <c r="G9">
        <v>140609</v>
      </c>
      <c r="H9" t="s">
        <v>11</v>
      </c>
      <c r="I9" s="2">
        <v>42770.765277777777</v>
      </c>
      <c r="J9" t="s">
        <v>12</v>
      </c>
      <c r="K9">
        <v>57.833333340000003</v>
      </c>
    </row>
    <row r="10" spans="1:11" x14ac:dyDescent="0.25">
      <c r="A10">
        <v>365003359</v>
      </c>
      <c r="B10">
        <v>3911946</v>
      </c>
      <c r="C10" s="1">
        <v>42873</v>
      </c>
      <c r="D10" s="3">
        <v>0.82152777777777775</v>
      </c>
      <c r="E10" s="2">
        <v>42873.804861111108</v>
      </c>
      <c r="F10" s="2"/>
      <c r="G10">
        <v>140609</v>
      </c>
      <c r="H10" t="s">
        <v>11</v>
      </c>
      <c r="I10" s="2">
        <v>42873.857638888891</v>
      </c>
      <c r="J10" t="s">
        <v>12</v>
      </c>
      <c r="K10">
        <v>-23.85</v>
      </c>
    </row>
    <row r="11" spans="1:11" x14ac:dyDescent="0.25">
      <c r="A11">
        <v>365003359</v>
      </c>
      <c r="B11">
        <v>4329799</v>
      </c>
      <c r="C11" s="1">
        <v>42978</v>
      </c>
      <c r="D11" s="3">
        <v>0.7680555555555556</v>
      </c>
      <c r="E11" s="2">
        <v>42978.748611111114</v>
      </c>
      <c r="F11" s="2">
        <v>42978.668055555558</v>
      </c>
      <c r="G11">
        <v>140609</v>
      </c>
      <c r="H11" t="s">
        <v>18</v>
      </c>
      <c r="I11" s="2"/>
      <c r="J11" t="s">
        <v>12</v>
      </c>
      <c r="K11">
        <v>-28.633333329999999</v>
      </c>
    </row>
    <row r="12" spans="1:11" x14ac:dyDescent="0.25">
      <c r="A12">
        <v>365003359</v>
      </c>
      <c r="B12">
        <v>3861513</v>
      </c>
      <c r="C12" s="1">
        <v>42859</v>
      </c>
      <c r="D12" s="3">
        <v>0.76527777777777772</v>
      </c>
      <c r="E12" s="2">
        <v>42859.838888888888</v>
      </c>
      <c r="F12" s="2"/>
      <c r="G12">
        <v>140609</v>
      </c>
      <c r="H12" t="s">
        <v>11</v>
      </c>
      <c r="I12" s="2">
        <v>42859.800694444442</v>
      </c>
      <c r="J12" t="s">
        <v>12</v>
      </c>
      <c r="K12">
        <v>105.95</v>
      </c>
    </row>
    <row r="13" spans="1:11" x14ac:dyDescent="0.25">
      <c r="A13">
        <v>365003359</v>
      </c>
      <c r="B13">
        <v>4415463</v>
      </c>
      <c r="C13" s="1">
        <v>42997</v>
      </c>
      <c r="D13" s="3">
        <v>0.81319444444444444</v>
      </c>
      <c r="E13" s="2">
        <v>42997.790972222225</v>
      </c>
      <c r="F13" s="2"/>
      <c r="G13">
        <v>140609</v>
      </c>
      <c r="H13" t="s">
        <v>11</v>
      </c>
      <c r="I13" s="2">
        <v>42997.913888888892</v>
      </c>
      <c r="J13" t="s">
        <v>12</v>
      </c>
      <c r="K13">
        <v>-32.633333319999998</v>
      </c>
    </row>
    <row r="14" spans="1:11" x14ac:dyDescent="0.25">
      <c r="A14">
        <v>365003359</v>
      </c>
      <c r="B14">
        <v>3626336</v>
      </c>
      <c r="C14" s="1">
        <v>42791</v>
      </c>
      <c r="D14" s="3">
        <v>0.70138888888888884</v>
      </c>
      <c r="E14" s="2">
        <v>42791.737500000003</v>
      </c>
      <c r="F14" s="2"/>
      <c r="G14">
        <v>140609</v>
      </c>
      <c r="H14" t="s">
        <v>13</v>
      </c>
      <c r="I14" s="2">
        <v>42788.768055555556</v>
      </c>
      <c r="J14" t="s">
        <v>12</v>
      </c>
      <c r="K14">
        <v>52.883333329999999</v>
      </c>
    </row>
    <row r="15" spans="1:11" x14ac:dyDescent="0.25">
      <c r="A15">
        <v>365003359</v>
      </c>
      <c r="B15">
        <v>3595153</v>
      </c>
      <c r="C15" s="1">
        <v>42777</v>
      </c>
      <c r="D15" s="3">
        <v>0.66736111111111107</v>
      </c>
      <c r="E15" s="2">
        <v>42777.709027777775</v>
      </c>
      <c r="F15" s="2"/>
      <c r="G15">
        <v>140609</v>
      </c>
      <c r="H15" t="s">
        <v>11</v>
      </c>
      <c r="I15" s="2">
        <v>42777.775694444441</v>
      </c>
      <c r="J15" t="s">
        <v>12</v>
      </c>
      <c r="K15">
        <v>60.016666669999999</v>
      </c>
    </row>
    <row r="16" spans="1:11" x14ac:dyDescent="0.25">
      <c r="A16">
        <v>365003359</v>
      </c>
      <c r="B16">
        <v>3469276</v>
      </c>
      <c r="C16" s="1">
        <v>42733</v>
      </c>
      <c r="D16" s="3">
        <v>0.77569444444444446</v>
      </c>
      <c r="E16" s="2">
        <v>42733.74722222222</v>
      </c>
      <c r="F16" s="2">
        <v>42723.790277777778</v>
      </c>
      <c r="G16">
        <v>160022</v>
      </c>
      <c r="H16" t="s">
        <v>18</v>
      </c>
      <c r="I16" s="2"/>
      <c r="J16" t="s">
        <v>12</v>
      </c>
      <c r="K16">
        <v>-40.86666666</v>
      </c>
    </row>
    <row r="17" spans="1:11" x14ac:dyDescent="0.25">
      <c r="A17">
        <v>365003359</v>
      </c>
      <c r="B17">
        <v>4465260</v>
      </c>
      <c r="C17" s="1">
        <v>43008</v>
      </c>
      <c r="D17" s="3">
        <v>0.40138888888888891</v>
      </c>
      <c r="E17" s="2">
        <v>43008.454861111109</v>
      </c>
      <c r="F17" s="2"/>
      <c r="G17">
        <v>140609</v>
      </c>
      <c r="H17" t="s">
        <v>11</v>
      </c>
      <c r="I17" s="2">
        <v>43008.456944444442</v>
      </c>
      <c r="J17" t="s">
        <v>12</v>
      </c>
      <c r="K17">
        <v>77.166666669999998</v>
      </c>
    </row>
    <row r="18" spans="1:11" x14ac:dyDescent="0.25">
      <c r="A18">
        <v>365003359</v>
      </c>
      <c r="B18">
        <v>3469269</v>
      </c>
      <c r="C18" s="1">
        <v>42747</v>
      </c>
      <c r="D18" s="3">
        <v>0.71111111111111114</v>
      </c>
      <c r="E18" s="2">
        <v>42747.806944444441</v>
      </c>
      <c r="F18" s="2">
        <v>42723.777083333334</v>
      </c>
      <c r="G18">
        <v>160022</v>
      </c>
      <c r="H18" t="s">
        <v>18</v>
      </c>
      <c r="I18" s="2"/>
      <c r="J18" t="s">
        <v>12</v>
      </c>
      <c r="K18">
        <v>137.31666670000001</v>
      </c>
    </row>
    <row r="19" spans="1:11" x14ac:dyDescent="0.25">
      <c r="A19">
        <v>365003359</v>
      </c>
      <c r="B19">
        <v>3553976</v>
      </c>
      <c r="C19" s="1">
        <v>42763</v>
      </c>
      <c r="D19" s="3">
        <v>0.70833333333333337</v>
      </c>
      <c r="E19" s="2">
        <v>42763.768055555556</v>
      </c>
      <c r="F19" s="2"/>
      <c r="G19">
        <v>140609</v>
      </c>
      <c r="H19" t="s">
        <v>15</v>
      </c>
      <c r="I19" s="2">
        <v>42764.561805555553</v>
      </c>
      <c r="J19" t="s">
        <v>14</v>
      </c>
      <c r="K19">
        <v>85.866666670000001</v>
      </c>
    </row>
    <row r="20" spans="1:11" x14ac:dyDescent="0.25">
      <c r="A20">
        <v>365003359</v>
      </c>
      <c r="B20">
        <v>4913978</v>
      </c>
      <c r="C20" s="1">
        <v>43085</v>
      </c>
      <c r="D20" s="3">
        <v>0.39652777777777776</v>
      </c>
      <c r="E20" s="2">
        <v>43085.436111111114</v>
      </c>
      <c r="F20" s="2"/>
      <c r="G20">
        <v>235235</v>
      </c>
      <c r="H20" t="s">
        <v>11</v>
      </c>
      <c r="I20" s="2">
        <v>43085.613888888889</v>
      </c>
      <c r="J20" t="s">
        <v>12</v>
      </c>
      <c r="K20">
        <v>57.483333330000001</v>
      </c>
    </row>
    <row r="21" spans="1:11" x14ac:dyDescent="0.25">
      <c r="A21">
        <v>365003359</v>
      </c>
      <c r="B21">
        <v>3654961</v>
      </c>
      <c r="C21" s="1">
        <v>42802</v>
      </c>
      <c r="D21" s="3">
        <v>0.48958333333333331</v>
      </c>
      <c r="E21" s="2">
        <v>42802.53125</v>
      </c>
      <c r="F21" s="2"/>
      <c r="G21">
        <v>140609</v>
      </c>
      <c r="H21" t="s">
        <v>11</v>
      </c>
      <c r="I21" s="2">
        <v>42802.554166666669</v>
      </c>
      <c r="J21" t="s">
        <v>14</v>
      </c>
      <c r="K21">
        <v>59.616666670000001</v>
      </c>
    </row>
    <row r="22" spans="1:11" x14ac:dyDescent="0.25">
      <c r="A22">
        <v>365003359</v>
      </c>
      <c r="B22">
        <v>3914154</v>
      </c>
      <c r="C22" s="1">
        <v>42880</v>
      </c>
      <c r="D22" s="3">
        <v>0.75069444444444444</v>
      </c>
      <c r="E22" s="2">
        <v>42880.861805555556</v>
      </c>
      <c r="F22" s="2">
        <v>42874.527777777781</v>
      </c>
      <c r="G22">
        <v>140609</v>
      </c>
      <c r="H22" t="s">
        <v>18</v>
      </c>
      <c r="I22" s="2"/>
      <c r="J22" t="s">
        <v>12</v>
      </c>
      <c r="K22">
        <v>160.46666669999999</v>
      </c>
    </row>
    <row r="23" spans="1:11" x14ac:dyDescent="0.25">
      <c r="A23">
        <v>365003359</v>
      </c>
      <c r="B23">
        <v>3884973</v>
      </c>
      <c r="C23" s="1">
        <v>42866</v>
      </c>
      <c r="D23" s="3">
        <v>0.79374999999999996</v>
      </c>
      <c r="E23" s="2">
        <v>42866.84652777778</v>
      </c>
      <c r="F23" s="2"/>
      <c r="G23">
        <v>140609</v>
      </c>
      <c r="H23" t="s">
        <v>11</v>
      </c>
      <c r="I23" s="2">
        <v>42866.832638888889</v>
      </c>
      <c r="J23" t="s">
        <v>12</v>
      </c>
      <c r="K23">
        <v>76.383333339999993</v>
      </c>
    </row>
    <row r="24" spans="1:11" x14ac:dyDescent="0.25">
      <c r="A24">
        <v>365003359</v>
      </c>
      <c r="B24">
        <v>3690938</v>
      </c>
      <c r="C24" s="1">
        <v>42810</v>
      </c>
      <c r="D24" s="3">
        <v>0.82777777777777772</v>
      </c>
      <c r="E24" s="2">
        <v>42810.865277777775</v>
      </c>
      <c r="F24" s="2">
        <v>42810.640972222223</v>
      </c>
      <c r="G24">
        <v>140609</v>
      </c>
      <c r="H24" t="s">
        <v>16</v>
      </c>
      <c r="I24" s="2">
        <v>42810.636805555558</v>
      </c>
      <c r="J24" t="s">
        <v>12</v>
      </c>
      <c r="K24">
        <v>53.666666669999998</v>
      </c>
    </row>
    <row r="25" spans="1:11" x14ac:dyDescent="0.25">
      <c r="A25">
        <v>365003359</v>
      </c>
      <c r="B25">
        <v>3705521</v>
      </c>
      <c r="C25" s="1">
        <v>42819</v>
      </c>
      <c r="D25" s="3">
        <v>0.6791666666666667</v>
      </c>
      <c r="E25" s="2">
        <v>42819.714583333334</v>
      </c>
      <c r="F25" s="2">
        <v>42815.649305555555</v>
      </c>
      <c r="G25">
        <v>140609</v>
      </c>
      <c r="H25" t="s">
        <v>16</v>
      </c>
      <c r="I25" s="2">
        <v>42815.657638888886</v>
      </c>
      <c r="J25" t="s">
        <v>12</v>
      </c>
      <c r="K25">
        <v>51.816666669999996</v>
      </c>
    </row>
    <row r="26" spans="1:11" x14ac:dyDescent="0.25">
      <c r="A26">
        <v>365003359</v>
      </c>
      <c r="B26">
        <v>4518640</v>
      </c>
      <c r="C26" s="1">
        <v>43029</v>
      </c>
      <c r="D26" s="3">
        <v>0.4465277777777778</v>
      </c>
      <c r="E26" s="2">
        <v>43029.484722222223</v>
      </c>
      <c r="F26" s="2">
        <v>43019.377083333333</v>
      </c>
      <c r="G26">
        <v>279471</v>
      </c>
      <c r="H26" t="s">
        <v>18</v>
      </c>
      <c r="I26" s="2"/>
      <c r="J26" t="s">
        <v>12</v>
      </c>
      <c r="K26">
        <v>54.283333329999998</v>
      </c>
    </row>
    <row r="27" spans="1:11" x14ac:dyDescent="0.25">
      <c r="A27">
        <v>365003359</v>
      </c>
      <c r="B27">
        <v>3787583</v>
      </c>
      <c r="C27" s="1">
        <v>42847</v>
      </c>
      <c r="D27" s="3">
        <v>0.67083333333333328</v>
      </c>
      <c r="E27" s="2">
        <v>42847.715277777781</v>
      </c>
      <c r="F27" s="2">
        <v>42839.677777777775</v>
      </c>
      <c r="G27">
        <v>140609</v>
      </c>
      <c r="H27" t="s">
        <v>18</v>
      </c>
      <c r="I27" s="2"/>
      <c r="J27" t="s">
        <v>12</v>
      </c>
      <c r="K27">
        <v>63.983333340000001</v>
      </c>
    </row>
    <row r="28" spans="1:11" x14ac:dyDescent="0.25">
      <c r="A28">
        <v>365003359</v>
      </c>
      <c r="B28">
        <v>4734159</v>
      </c>
      <c r="C28" s="1">
        <v>43057</v>
      </c>
      <c r="D28" s="3">
        <v>0.3840277777777778</v>
      </c>
      <c r="E28" s="2">
        <v>43057.457638888889</v>
      </c>
      <c r="F28" s="2"/>
      <c r="G28">
        <v>235235</v>
      </c>
      <c r="H28" t="s">
        <v>11</v>
      </c>
      <c r="I28" s="2">
        <v>43057.441666666666</v>
      </c>
      <c r="J28" t="s">
        <v>12</v>
      </c>
      <c r="K28">
        <v>105.4833333</v>
      </c>
    </row>
    <row r="29" spans="1:11" x14ac:dyDescent="0.25">
      <c r="A29">
        <v>365003359</v>
      </c>
      <c r="B29">
        <v>4467747</v>
      </c>
      <c r="C29" s="1">
        <v>43011</v>
      </c>
      <c r="D29" s="3">
        <v>0.79166666666666663</v>
      </c>
      <c r="E29" s="2">
        <v>43011.859722222223</v>
      </c>
      <c r="F29" s="2">
        <v>43009.407638888886</v>
      </c>
      <c r="G29">
        <v>140609</v>
      </c>
      <c r="H29" t="s">
        <v>18</v>
      </c>
      <c r="I29" s="2"/>
      <c r="J29" t="s">
        <v>12</v>
      </c>
      <c r="K29">
        <v>97.933333329999996</v>
      </c>
    </row>
    <row r="30" spans="1:11" x14ac:dyDescent="0.25">
      <c r="A30">
        <v>365003359</v>
      </c>
      <c r="B30">
        <v>3521457</v>
      </c>
      <c r="C30" s="1">
        <v>42747</v>
      </c>
      <c r="D30" s="3">
        <v>0.79652777777777772</v>
      </c>
      <c r="E30" s="2">
        <v>42747.850694444445</v>
      </c>
      <c r="F30" s="2"/>
      <c r="G30">
        <v>140609</v>
      </c>
      <c r="H30" t="s">
        <v>11</v>
      </c>
      <c r="I30" s="2">
        <v>42747.881944444445</v>
      </c>
      <c r="J30" t="s">
        <v>12</v>
      </c>
      <c r="K30">
        <v>78.233333329999994</v>
      </c>
    </row>
    <row r="31" spans="1:11" x14ac:dyDescent="0.25">
      <c r="A31">
        <v>365003359</v>
      </c>
      <c r="B31">
        <v>3992768</v>
      </c>
      <c r="C31" s="1">
        <v>42894</v>
      </c>
      <c r="D31" s="3">
        <v>0.78472222222222221</v>
      </c>
      <c r="E31" s="2">
        <v>42894.813194444447</v>
      </c>
      <c r="F31" s="2"/>
      <c r="G31">
        <v>140609</v>
      </c>
      <c r="H31" t="s">
        <v>11</v>
      </c>
      <c r="I31" s="2">
        <v>42894.90625</v>
      </c>
      <c r="J31" t="s">
        <v>12</v>
      </c>
      <c r="K31">
        <v>41.183333330000004</v>
      </c>
    </row>
    <row r="32" spans="1:11" x14ac:dyDescent="0.25">
      <c r="A32">
        <v>365003359</v>
      </c>
      <c r="B32">
        <v>4959429</v>
      </c>
      <c r="C32" s="1">
        <v>43092</v>
      </c>
      <c r="D32" s="3">
        <v>0.38333333333333336</v>
      </c>
      <c r="E32" s="2">
        <v>43092.415277777778</v>
      </c>
      <c r="F32" s="2">
        <v>43091.60833333333</v>
      </c>
      <c r="G32">
        <v>235235</v>
      </c>
      <c r="H32" t="s">
        <v>18</v>
      </c>
      <c r="I32" s="2"/>
      <c r="J32" t="s">
        <v>12</v>
      </c>
      <c r="K32">
        <v>46.383333329999999</v>
      </c>
    </row>
    <row r="33" spans="1:11" x14ac:dyDescent="0.25">
      <c r="A33">
        <v>365003359</v>
      </c>
      <c r="B33">
        <v>3965282</v>
      </c>
      <c r="C33" s="1">
        <v>42887</v>
      </c>
      <c r="D33" s="3">
        <v>0.8256944444444444</v>
      </c>
      <c r="E33" s="2">
        <v>42887.788194444445</v>
      </c>
      <c r="F33" s="2"/>
      <c r="G33">
        <v>140609</v>
      </c>
      <c r="H33" t="s">
        <v>11</v>
      </c>
      <c r="I33" s="2">
        <v>42887.910416666666</v>
      </c>
      <c r="J33" t="s">
        <v>12</v>
      </c>
      <c r="K33">
        <v>-53.816666660000003</v>
      </c>
    </row>
    <row r="34" spans="1:11" x14ac:dyDescent="0.25">
      <c r="A34">
        <v>365003359</v>
      </c>
      <c r="B34">
        <v>3456118</v>
      </c>
      <c r="C34" s="1">
        <v>42722</v>
      </c>
      <c r="D34" s="3">
        <v>0.49791666666666667</v>
      </c>
      <c r="E34" s="2">
        <v>42722.461805555555</v>
      </c>
      <c r="F34" s="2"/>
      <c r="G34">
        <v>58147</v>
      </c>
      <c r="H34" t="s">
        <v>11</v>
      </c>
      <c r="I34" s="2">
        <v>42722.481944444444</v>
      </c>
      <c r="J34" t="s">
        <v>17</v>
      </c>
      <c r="K34">
        <v>-51.566666669999996</v>
      </c>
    </row>
    <row r="35" spans="1:11" x14ac:dyDescent="0.25">
      <c r="A35">
        <v>365003359</v>
      </c>
      <c r="B35">
        <v>3609424</v>
      </c>
      <c r="C35" s="1">
        <v>42782</v>
      </c>
      <c r="D35" s="3">
        <v>0.76249999999999996</v>
      </c>
      <c r="E35" s="2">
        <v>42782.793055555558</v>
      </c>
      <c r="F35" s="2"/>
      <c r="G35">
        <v>140609</v>
      </c>
      <c r="H35" t="s">
        <v>11</v>
      </c>
      <c r="I35" s="2">
        <v>42782.863888888889</v>
      </c>
      <c r="J35" t="s">
        <v>12</v>
      </c>
      <c r="K35">
        <v>43.600000010000002</v>
      </c>
    </row>
    <row r="36" spans="1:11" x14ac:dyDescent="0.25">
      <c r="A36">
        <v>365003359</v>
      </c>
      <c r="B36">
        <v>3787581</v>
      </c>
      <c r="C36" s="1">
        <v>42840</v>
      </c>
      <c r="D36" s="3">
        <v>0.7</v>
      </c>
      <c r="E36" s="2">
        <v>42840.727083333331</v>
      </c>
      <c r="F36" s="2">
        <v>42839.717361111114</v>
      </c>
      <c r="G36">
        <v>140609</v>
      </c>
      <c r="H36" t="s">
        <v>18</v>
      </c>
      <c r="I36" s="2"/>
      <c r="J36" t="s">
        <v>12</v>
      </c>
      <c r="K36">
        <v>39.299999999999997</v>
      </c>
    </row>
    <row r="37" spans="1:11" x14ac:dyDescent="0.25">
      <c r="A37">
        <v>365003359</v>
      </c>
      <c r="B37">
        <v>3890484</v>
      </c>
      <c r="C37" s="1">
        <v>42868</v>
      </c>
      <c r="D37" s="3">
        <v>0.68263888888888891</v>
      </c>
      <c r="E37" s="2">
        <v>42868.754166666666</v>
      </c>
      <c r="F37" s="2">
        <v>42868.433333333334</v>
      </c>
      <c r="G37">
        <v>140609</v>
      </c>
      <c r="H37" t="s">
        <v>16</v>
      </c>
      <c r="I37" s="2">
        <v>42868.445138888892</v>
      </c>
      <c r="J37" t="s">
        <v>12</v>
      </c>
      <c r="K37">
        <v>103.05</v>
      </c>
    </row>
    <row r="38" spans="1:11" x14ac:dyDescent="0.25">
      <c r="A38">
        <v>365003359</v>
      </c>
      <c r="B38">
        <v>3469271</v>
      </c>
      <c r="C38" s="1">
        <v>42761</v>
      </c>
      <c r="D38" s="3">
        <v>0.76458333333333328</v>
      </c>
      <c r="E38" s="2">
        <v>42761.78125</v>
      </c>
      <c r="F38" s="2">
        <v>42723.777777777781</v>
      </c>
      <c r="G38">
        <v>160022</v>
      </c>
      <c r="H38" t="s">
        <v>18</v>
      </c>
      <c r="I38" s="2"/>
      <c r="J38" t="s">
        <v>12</v>
      </c>
      <c r="K38">
        <v>23.916666670000001</v>
      </c>
    </row>
    <row r="39" spans="1:11" x14ac:dyDescent="0.25">
      <c r="A39">
        <v>365003359</v>
      </c>
      <c r="B39">
        <v>3665678</v>
      </c>
      <c r="C39" s="1">
        <v>42803</v>
      </c>
      <c r="D39" s="3">
        <v>0.78819444444444442</v>
      </c>
      <c r="E39" s="2">
        <v>42803.831250000003</v>
      </c>
      <c r="F39" s="2">
        <v>42802.495833333334</v>
      </c>
      <c r="G39">
        <v>140609</v>
      </c>
      <c r="H39" t="s">
        <v>16</v>
      </c>
      <c r="I39" s="2">
        <v>42802.522916666669</v>
      </c>
      <c r="J39" t="s">
        <v>12</v>
      </c>
      <c r="K39">
        <v>61.6</v>
      </c>
    </row>
    <row r="40" spans="1:11" x14ac:dyDescent="0.25">
      <c r="A40">
        <v>365003359</v>
      </c>
      <c r="B40">
        <v>4368853</v>
      </c>
      <c r="C40" s="1">
        <v>42987</v>
      </c>
      <c r="D40" s="3">
        <v>0.43472222222222223</v>
      </c>
      <c r="E40" s="2">
        <v>42987.480555555558</v>
      </c>
      <c r="F40" s="2"/>
      <c r="G40">
        <v>140609</v>
      </c>
      <c r="H40" t="s">
        <v>11</v>
      </c>
      <c r="I40" s="2">
        <v>42987.543055555558</v>
      </c>
      <c r="J40" t="s">
        <v>12</v>
      </c>
      <c r="K40">
        <v>66.316666659999996</v>
      </c>
    </row>
    <row r="41" spans="1:11" x14ac:dyDescent="0.25">
      <c r="A41">
        <v>365003359</v>
      </c>
      <c r="B41">
        <v>3952547</v>
      </c>
      <c r="C41" s="1">
        <v>42889</v>
      </c>
      <c r="D41" s="3">
        <v>0.71666666666666667</v>
      </c>
      <c r="E41" s="2">
        <v>42889.75277777778</v>
      </c>
      <c r="F41" s="2">
        <v>42885.337500000001</v>
      </c>
      <c r="G41">
        <v>140609</v>
      </c>
      <c r="H41" t="s">
        <v>16</v>
      </c>
      <c r="I41" s="2">
        <v>42885.333333333336</v>
      </c>
      <c r="J41" t="s">
        <v>12</v>
      </c>
      <c r="K41">
        <v>51.649999989999998</v>
      </c>
    </row>
    <row r="42" spans="1:11" x14ac:dyDescent="0.25">
      <c r="A42">
        <v>365003359</v>
      </c>
      <c r="B42">
        <v>3975948</v>
      </c>
      <c r="C42" s="1">
        <v>42896</v>
      </c>
      <c r="D42" s="3">
        <v>0.68819444444444444</v>
      </c>
      <c r="E42" s="2">
        <v>42896.713194444441</v>
      </c>
      <c r="F42" s="2">
        <v>42891.472916666666</v>
      </c>
      <c r="G42">
        <v>140609</v>
      </c>
      <c r="H42" t="s">
        <v>16</v>
      </c>
      <c r="I42" s="2">
        <v>42891.496527777781</v>
      </c>
      <c r="J42" t="s">
        <v>12</v>
      </c>
      <c r="K42">
        <v>36.85</v>
      </c>
    </row>
    <row r="43" spans="1:11" x14ac:dyDescent="0.25">
      <c r="A43">
        <v>365003359</v>
      </c>
      <c r="B43">
        <v>4545710</v>
      </c>
      <c r="C43" s="1">
        <v>43029</v>
      </c>
      <c r="D43" s="3">
        <v>0.44513888888888886</v>
      </c>
      <c r="E43" s="2">
        <v>43029.42083333333</v>
      </c>
      <c r="F43" s="2">
        <v>43024.859027777777</v>
      </c>
      <c r="G43">
        <v>12565</v>
      </c>
      <c r="H43" t="s">
        <v>18</v>
      </c>
      <c r="I43" s="2"/>
      <c r="J43" t="s">
        <v>12</v>
      </c>
      <c r="K43">
        <v>-35.88333334</v>
      </c>
    </row>
    <row r="44" spans="1:11" x14ac:dyDescent="0.25">
      <c r="A44">
        <v>365003359</v>
      </c>
      <c r="B44">
        <v>3543095</v>
      </c>
      <c r="C44" s="1">
        <v>42757</v>
      </c>
      <c r="D44" s="3">
        <v>0.65069444444444446</v>
      </c>
      <c r="E44" s="2">
        <v>42757.636111111111</v>
      </c>
      <c r="F44" s="2"/>
      <c r="G44">
        <v>140609</v>
      </c>
      <c r="H44" t="s">
        <v>11</v>
      </c>
      <c r="I44" s="2">
        <v>42757.901388888888</v>
      </c>
      <c r="J44" t="s">
        <v>12</v>
      </c>
      <c r="K44">
        <v>-21.483333340000001</v>
      </c>
    </row>
    <row r="45" spans="1:11" x14ac:dyDescent="0.25">
      <c r="A45">
        <v>365003359</v>
      </c>
      <c r="B45">
        <v>3743091</v>
      </c>
      <c r="C45" s="1">
        <v>42831</v>
      </c>
      <c r="D45" s="3">
        <v>0.75</v>
      </c>
      <c r="E45" s="2">
        <v>42831.786805555559</v>
      </c>
      <c r="F45" s="2">
        <v>42827.361805555556</v>
      </c>
      <c r="G45">
        <v>140609</v>
      </c>
      <c r="H45" t="s">
        <v>18</v>
      </c>
      <c r="I45" s="2"/>
      <c r="J45" t="s">
        <v>12</v>
      </c>
      <c r="K45">
        <v>53.533333329999998</v>
      </c>
    </row>
    <row r="46" spans="1:11" x14ac:dyDescent="0.25">
      <c r="A46">
        <v>365003359</v>
      </c>
      <c r="B46">
        <v>3469274</v>
      </c>
      <c r="C46" s="1">
        <v>42726</v>
      </c>
      <c r="D46" s="3">
        <v>0.7583333333333333</v>
      </c>
      <c r="E46" s="2">
        <v>42726.777777777781</v>
      </c>
      <c r="F46" s="2">
        <v>42723.781944444447</v>
      </c>
      <c r="G46">
        <v>160022</v>
      </c>
      <c r="H46" t="s">
        <v>18</v>
      </c>
      <c r="I46" s="2"/>
      <c r="J46" t="s">
        <v>12</v>
      </c>
      <c r="K46">
        <v>27.55</v>
      </c>
    </row>
    <row r="47" spans="1:11" x14ac:dyDescent="0.25">
      <c r="A47">
        <v>365003359</v>
      </c>
      <c r="B47">
        <v>4291752</v>
      </c>
      <c r="C47" s="1">
        <v>42969</v>
      </c>
      <c r="D47" s="3">
        <v>0.7270833333333333</v>
      </c>
      <c r="E47" s="2">
        <v>42969.759722222225</v>
      </c>
      <c r="F47" s="2"/>
      <c r="G47">
        <v>140609</v>
      </c>
      <c r="H47" t="s">
        <v>11</v>
      </c>
      <c r="I47" s="2">
        <v>42969.952777777777</v>
      </c>
      <c r="J47" t="s">
        <v>12</v>
      </c>
      <c r="K47">
        <v>46.966666680000003</v>
      </c>
    </row>
    <row r="48" spans="1:11" x14ac:dyDescent="0.25">
      <c r="A48">
        <v>365003359</v>
      </c>
      <c r="B48">
        <v>3742505</v>
      </c>
      <c r="C48" s="1">
        <v>42826</v>
      </c>
      <c r="D48" s="3">
        <v>0.71597222222222223</v>
      </c>
      <c r="E48" s="2">
        <v>42826.712500000001</v>
      </c>
      <c r="F48" s="2"/>
      <c r="G48">
        <v>140609</v>
      </c>
      <c r="H48" t="s">
        <v>11</v>
      </c>
      <c r="I48" s="2">
        <v>42826.767361111109</v>
      </c>
      <c r="J48" t="s">
        <v>12</v>
      </c>
      <c r="K48">
        <v>-4.6500000080000001</v>
      </c>
    </row>
    <row r="49" spans="1:11" x14ac:dyDescent="0.25">
      <c r="A49">
        <v>365003359</v>
      </c>
      <c r="B49">
        <v>4602008</v>
      </c>
      <c r="C49" s="1">
        <v>43036</v>
      </c>
      <c r="D49" s="3">
        <v>0.4375</v>
      </c>
      <c r="E49" s="2">
        <v>43036.436805555553</v>
      </c>
      <c r="F49" s="2">
        <v>43034.711805555555</v>
      </c>
      <c r="G49">
        <v>235235</v>
      </c>
      <c r="H49" t="s">
        <v>16</v>
      </c>
      <c r="I49" s="2">
        <v>43034.731944444444</v>
      </c>
      <c r="J49" t="s">
        <v>12</v>
      </c>
      <c r="K49">
        <v>-0.71666666700000003</v>
      </c>
    </row>
    <row r="50" spans="1:11" x14ac:dyDescent="0.25">
      <c r="A50">
        <v>365003359</v>
      </c>
      <c r="B50">
        <v>3590511</v>
      </c>
      <c r="C50" s="1">
        <v>42775</v>
      </c>
      <c r="D50" s="3">
        <v>0.76875000000000004</v>
      </c>
      <c r="E50" s="2">
        <v>42775.843055555553</v>
      </c>
      <c r="F50" s="2"/>
      <c r="G50">
        <v>140609</v>
      </c>
      <c r="H50" t="s">
        <v>11</v>
      </c>
      <c r="I50" s="2">
        <v>42775.850694444445</v>
      </c>
      <c r="J50" t="s">
        <v>12</v>
      </c>
      <c r="K50">
        <v>107.2166667</v>
      </c>
    </row>
    <row r="51" spans="1:11" x14ac:dyDescent="0.25">
      <c r="A51">
        <v>365003359</v>
      </c>
      <c r="B51">
        <v>3845746</v>
      </c>
      <c r="C51" s="1">
        <v>42857</v>
      </c>
      <c r="D51" s="3">
        <v>0.78333333333333333</v>
      </c>
      <c r="E51" s="2">
        <v>42857.789583333331</v>
      </c>
      <c r="F51" s="2"/>
      <c r="G51">
        <v>140609</v>
      </c>
      <c r="H51" t="s">
        <v>11</v>
      </c>
      <c r="I51" s="2">
        <v>42857.855555555558</v>
      </c>
      <c r="J51" t="s">
        <v>14</v>
      </c>
      <c r="K51">
        <v>9.2333333329999991</v>
      </c>
    </row>
    <row r="52" spans="1:11" x14ac:dyDescent="0.25">
      <c r="A52">
        <v>365003359</v>
      </c>
      <c r="B52">
        <v>3697583</v>
      </c>
      <c r="C52" s="1">
        <v>42812</v>
      </c>
      <c r="D52" s="3">
        <v>0.66874999999999996</v>
      </c>
      <c r="E52" s="2">
        <v>42812.734027777777</v>
      </c>
      <c r="F52" s="2"/>
      <c r="G52">
        <v>140609</v>
      </c>
      <c r="H52" t="s">
        <v>11</v>
      </c>
      <c r="I52" s="2">
        <v>42812.762499999997</v>
      </c>
      <c r="J52" t="s">
        <v>12</v>
      </c>
      <c r="K52">
        <v>93.85</v>
      </c>
    </row>
    <row r="53" spans="1:11" x14ac:dyDescent="0.25">
      <c r="A53">
        <v>365003359</v>
      </c>
      <c r="B53">
        <v>4400144</v>
      </c>
      <c r="C53" s="1">
        <v>42994</v>
      </c>
      <c r="D53" s="3">
        <v>0.3923611111111111</v>
      </c>
      <c r="E53" s="2">
        <v>42994.481249999997</v>
      </c>
      <c r="F53" s="2"/>
      <c r="G53">
        <v>140609</v>
      </c>
      <c r="H53" t="s">
        <v>11</v>
      </c>
      <c r="I53" s="2">
        <v>42994.540972222225</v>
      </c>
      <c r="J53" t="s">
        <v>12</v>
      </c>
      <c r="K53">
        <v>127.2</v>
      </c>
    </row>
    <row r="54" spans="1:11" x14ac:dyDescent="0.25">
      <c r="A54">
        <v>365003359</v>
      </c>
      <c r="B54">
        <v>3469270</v>
      </c>
      <c r="C54" s="1">
        <v>42754</v>
      </c>
      <c r="D54" s="3">
        <v>0.76666666666666672</v>
      </c>
      <c r="E54" s="2">
        <v>42754.804166666669</v>
      </c>
      <c r="F54" s="2">
        <v>42723.791666666664</v>
      </c>
      <c r="G54">
        <v>160022</v>
      </c>
      <c r="H54" t="s">
        <v>18</v>
      </c>
      <c r="I54" s="2"/>
      <c r="J54" t="s">
        <v>12</v>
      </c>
      <c r="K54">
        <v>54.083333340000003</v>
      </c>
    </row>
    <row r="55" spans="1:11" x14ac:dyDescent="0.25">
      <c r="A55">
        <v>365003359</v>
      </c>
      <c r="B55">
        <v>4450812</v>
      </c>
      <c r="C55" s="1">
        <v>43004</v>
      </c>
      <c r="D55" s="3">
        <v>0.81041666666666667</v>
      </c>
      <c r="E55" s="2">
        <v>43004.836805555555</v>
      </c>
      <c r="F55" s="2"/>
      <c r="G55">
        <v>140609</v>
      </c>
      <c r="H55" t="s">
        <v>11</v>
      </c>
      <c r="I55" s="2">
        <v>43005.60833333333</v>
      </c>
      <c r="J55" t="s">
        <v>12</v>
      </c>
      <c r="K55">
        <v>37.883333329999999</v>
      </c>
    </row>
    <row r="56" spans="1:11" x14ac:dyDescent="0.25">
      <c r="A56">
        <v>365003359</v>
      </c>
      <c r="B56">
        <v>3743092</v>
      </c>
      <c r="C56" s="1">
        <v>42833</v>
      </c>
      <c r="D56" s="3">
        <v>0.71458333333333335</v>
      </c>
      <c r="E56" s="2">
        <v>42833.779861111114</v>
      </c>
      <c r="F56" s="2">
        <v>42827.406944444447</v>
      </c>
      <c r="G56">
        <v>140609</v>
      </c>
      <c r="H56" t="s">
        <v>18</v>
      </c>
      <c r="I56" s="2"/>
      <c r="J56" t="s">
        <v>12</v>
      </c>
      <c r="K56">
        <v>93.633333320000006</v>
      </c>
    </row>
    <row r="57" spans="1:11" x14ac:dyDescent="0.25">
      <c r="A57">
        <v>365003359</v>
      </c>
      <c r="B57">
        <v>3833925</v>
      </c>
      <c r="C57" s="1">
        <v>42854</v>
      </c>
      <c r="D57" s="3">
        <v>0.71111111111111114</v>
      </c>
      <c r="E57" s="2">
        <v>42854.722222222219</v>
      </c>
      <c r="F57" s="2">
        <v>42852.54791666667</v>
      </c>
      <c r="G57">
        <v>140609</v>
      </c>
      <c r="H57" t="s">
        <v>18</v>
      </c>
      <c r="I57" s="2"/>
      <c r="J57" t="s">
        <v>12</v>
      </c>
      <c r="K57">
        <v>16.466666669999999</v>
      </c>
    </row>
    <row r="58" spans="1:11" x14ac:dyDescent="0.25">
      <c r="A58">
        <v>365003359</v>
      </c>
      <c r="B58">
        <v>4018988</v>
      </c>
      <c r="C58" s="1">
        <v>42901</v>
      </c>
      <c r="D58" s="3">
        <v>0.77986111111111112</v>
      </c>
      <c r="E58" s="2">
        <v>42901.796527777777</v>
      </c>
      <c r="F58" s="2"/>
      <c r="G58">
        <v>140609</v>
      </c>
      <c r="H58" t="s">
        <v>11</v>
      </c>
      <c r="I58" s="2">
        <v>42901.80972222222</v>
      </c>
      <c r="J58" t="s">
        <v>12</v>
      </c>
      <c r="K58">
        <v>23.966666669999999</v>
      </c>
    </row>
    <row r="59" spans="1:11" x14ac:dyDescent="0.25">
      <c r="A59">
        <v>365003359</v>
      </c>
      <c r="B59">
        <v>3469275</v>
      </c>
      <c r="C59" s="1">
        <v>42729</v>
      </c>
      <c r="D59" s="3">
        <v>0.48055555555555557</v>
      </c>
      <c r="E59" s="2">
        <v>42729.51458333333</v>
      </c>
      <c r="F59" s="2">
        <v>42723.76666666667</v>
      </c>
      <c r="G59">
        <v>160022</v>
      </c>
      <c r="H59" t="s">
        <v>18</v>
      </c>
      <c r="I59" s="2"/>
      <c r="J59" t="s">
        <v>12</v>
      </c>
      <c r="K59">
        <v>49.016666659999999</v>
      </c>
    </row>
    <row r="60" spans="1:11" x14ac:dyDescent="0.25">
      <c r="A60">
        <v>365003359</v>
      </c>
      <c r="B60">
        <v>4254511</v>
      </c>
      <c r="C60" s="1">
        <v>42964</v>
      </c>
      <c r="D60" s="3">
        <v>0.76458333333333328</v>
      </c>
      <c r="E60" s="2">
        <v>42964.745138888888</v>
      </c>
      <c r="F60" s="2">
        <v>42961.463194444441</v>
      </c>
      <c r="G60">
        <v>140609</v>
      </c>
      <c r="H60" t="s">
        <v>18</v>
      </c>
      <c r="I60" s="2"/>
      <c r="J60" t="s">
        <v>12</v>
      </c>
      <c r="K60">
        <v>-27.966666669999999</v>
      </c>
    </row>
    <row r="61" spans="1:11" x14ac:dyDescent="0.25">
      <c r="A61">
        <v>365003359</v>
      </c>
      <c r="B61">
        <v>3498191</v>
      </c>
      <c r="C61" s="1">
        <v>42740</v>
      </c>
      <c r="D61" s="3">
        <v>0.76111111111111107</v>
      </c>
      <c r="E61" s="2">
        <v>42740.781944444447</v>
      </c>
      <c r="F61" s="2">
        <v>42733.82708333333</v>
      </c>
      <c r="G61">
        <v>160022</v>
      </c>
      <c r="H61" t="s">
        <v>16</v>
      </c>
      <c r="I61" s="2">
        <v>42733.853472222225</v>
      </c>
      <c r="J61" t="s">
        <v>12</v>
      </c>
      <c r="K61">
        <v>29.93333333</v>
      </c>
    </row>
    <row r="62" spans="1:11" x14ac:dyDescent="0.25">
      <c r="A62">
        <v>365003359</v>
      </c>
      <c r="B62">
        <v>4777265</v>
      </c>
      <c r="C62" s="1">
        <v>43064</v>
      </c>
      <c r="D62" s="3">
        <v>0.39583333333333331</v>
      </c>
      <c r="E62" s="2">
        <v>43064.456944444442</v>
      </c>
      <c r="F62" s="2"/>
      <c r="G62">
        <v>235235</v>
      </c>
      <c r="H62" t="s">
        <v>11</v>
      </c>
      <c r="I62" s="2">
        <v>43064.418749999997</v>
      </c>
      <c r="J62" t="s">
        <v>12</v>
      </c>
      <c r="K62">
        <v>88.783333330000005</v>
      </c>
    </row>
    <row r="63" spans="1:11" x14ac:dyDescent="0.25">
      <c r="A63">
        <v>365003359</v>
      </c>
      <c r="B63">
        <v>3914155</v>
      </c>
      <c r="C63" s="1">
        <v>42875</v>
      </c>
      <c r="D63" s="3">
        <v>0.73472222222222228</v>
      </c>
      <c r="E63" s="2">
        <v>42875.722222222219</v>
      </c>
      <c r="F63" s="2">
        <v>42874.509722222225</v>
      </c>
      <c r="G63">
        <v>140609</v>
      </c>
      <c r="H63" t="s">
        <v>18</v>
      </c>
      <c r="I63" s="2"/>
      <c r="J63" t="s">
        <v>12</v>
      </c>
      <c r="K63">
        <v>-17.283333339999999</v>
      </c>
    </row>
    <row r="64" spans="1:11" x14ac:dyDescent="0.25">
      <c r="A64">
        <v>365003359</v>
      </c>
      <c r="B64">
        <v>3914156</v>
      </c>
      <c r="C64" s="1">
        <v>42882</v>
      </c>
      <c r="D64" s="3">
        <v>0.69097222222222221</v>
      </c>
      <c r="E64" s="2">
        <v>42882.739583333336</v>
      </c>
      <c r="F64" s="2">
        <v>42874.553472222222</v>
      </c>
      <c r="G64">
        <v>140609</v>
      </c>
      <c r="H64" t="s">
        <v>18</v>
      </c>
      <c r="I64" s="2"/>
      <c r="J64" t="s">
        <v>12</v>
      </c>
      <c r="K64">
        <v>70.2</v>
      </c>
    </row>
    <row r="65" spans="1:11" x14ac:dyDescent="0.25">
      <c r="A65">
        <v>365003359</v>
      </c>
      <c r="B65">
        <v>3608439</v>
      </c>
      <c r="C65" s="1">
        <v>42787</v>
      </c>
      <c r="D65" s="3">
        <v>0.37708333333333333</v>
      </c>
      <c r="E65" s="2">
        <v>42787.433333333334</v>
      </c>
      <c r="F65" s="2"/>
      <c r="G65">
        <v>140609</v>
      </c>
      <c r="H65" t="s">
        <v>11</v>
      </c>
      <c r="I65" s="2">
        <v>42787.455555555556</v>
      </c>
      <c r="J65" t="s">
        <v>14</v>
      </c>
      <c r="K65">
        <v>80.400000009999999</v>
      </c>
    </row>
    <row r="66" spans="1:11" x14ac:dyDescent="0.25">
      <c r="A66">
        <v>365003359</v>
      </c>
      <c r="B66">
        <v>3787584</v>
      </c>
      <c r="C66" s="1">
        <v>42852</v>
      </c>
      <c r="D66" s="3">
        <v>0.76736111111111116</v>
      </c>
      <c r="E66" s="2">
        <v>42852.813194444447</v>
      </c>
      <c r="F66" s="2">
        <v>42839.69027777778</v>
      </c>
      <c r="G66">
        <v>140609</v>
      </c>
      <c r="H66" t="s">
        <v>18</v>
      </c>
      <c r="I66" s="2"/>
      <c r="J66" t="s">
        <v>12</v>
      </c>
      <c r="K66">
        <v>66.033333339999999</v>
      </c>
    </row>
    <row r="67" spans="1:11" x14ac:dyDescent="0.25">
      <c r="A67">
        <v>365003359</v>
      </c>
      <c r="B67">
        <v>3654957</v>
      </c>
      <c r="C67" s="1">
        <v>42805</v>
      </c>
      <c r="D67" s="3">
        <v>0.72569444444444442</v>
      </c>
      <c r="E67" s="2">
        <v>42805.777777777781</v>
      </c>
      <c r="F67" s="2">
        <v>42798.840277777781</v>
      </c>
      <c r="G67">
        <v>140609</v>
      </c>
      <c r="H67" t="s">
        <v>16</v>
      </c>
      <c r="I67" s="2">
        <v>42798.89166666667</v>
      </c>
      <c r="J67" t="s">
        <v>12</v>
      </c>
      <c r="K67">
        <v>74.766666659999999</v>
      </c>
    </row>
    <row r="68" spans="1:11" x14ac:dyDescent="0.25">
      <c r="A68">
        <v>365003359</v>
      </c>
      <c r="B68">
        <v>3608437</v>
      </c>
      <c r="C68" s="1">
        <v>42784</v>
      </c>
      <c r="D68" s="3">
        <v>0.71597222222222223</v>
      </c>
      <c r="E68" s="2">
        <v>42784.718055555553</v>
      </c>
      <c r="F68" s="2">
        <v>42782.648611111108</v>
      </c>
      <c r="G68">
        <v>140609</v>
      </c>
      <c r="H68" t="s">
        <v>16</v>
      </c>
      <c r="I68" s="2">
        <v>42782.578472222223</v>
      </c>
      <c r="J68" t="s">
        <v>12</v>
      </c>
      <c r="K68">
        <v>2.9999999989999999</v>
      </c>
    </row>
    <row r="69" spans="1:11" x14ac:dyDescent="0.25">
      <c r="A69">
        <v>365003359</v>
      </c>
      <c r="B69">
        <v>4602009</v>
      </c>
      <c r="C69" s="1">
        <v>43041</v>
      </c>
      <c r="D69" s="3">
        <v>0.68472222222222223</v>
      </c>
      <c r="E69" s="2">
        <v>43041.745833333334</v>
      </c>
      <c r="F69" s="2"/>
      <c r="G69">
        <v>235235</v>
      </c>
      <c r="H69" t="s">
        <v>11</v>
      </c>
      <c r="I69" s="2">
        <v>43041.75277777778</v>
      </c>
      <c r="J69" t="s">
        <v>14</v>
      </c>
      <c r="K69">
        <v>88.283333330000005</v>
      </c>
    </row>
    <row r="70" spans="1:11" x14ac:dyDescent="0.25">
      <c r="A70">
        <v>365003359</v>
      </c>
      <c r="B70">
        <v>4321637</v>
      </c>
      <c r="C70" s="1">
        <v>42976</v>
      </c>
      <c r="D70" s="3">
        <v>0.77152777777777781</v>
      </c>
      <c r="E70" s="2">
        <v>42976.785416666666</v>
      </c>
      <c r="F70" s="2"/>
      <c r="G70">
        <v>140609</v>
      </c>
      <c r="H70" t="s">
        <v>11</v>
      </c>
      <c r="I70" s="2">
        <v>42976.905555555553</v>
      </c>
      <c r="J70" t="s">
        <v>12</v>
      </c>
      <c r="K70">
        <v>20.183333340000001</v>
      </c>
    </row>
    <row r="71" spans="1:11" x14ac:dyDescent="0.25">
      <c r="A71">
        <v>365003359</v>
      </c>
      <c r="B71">
        <v>3736732</v>
      </c>
      <c r="C71" s="1">
        <v>42824</v>
      </c>
      <c r="D71" s="3">
        <v>0.78541666666666665</v>
      </c>
      <c r="E71" s="2">
        <v>42824.852777777778</v>
      </c>
      <c r="F71" s="2"/>
      <c r="G71">
        <v>140609</v>
      </c>
      <c r="H71" t="s">
        <v>11</v>
      </c>
      <c r="I71" s="2">
        <v>42824.831944444442</v>
      </c>
      <c r="J71" t="s">
        <v>12</v>
      </c>
      <c r="K71">
        <v>96.4</v>
      </c>
    </row>
    <row r="72" spans="1:11" x14ac:dyDescent="0.25">
      <c r="A72">
        <v>365003359</v>
      </c>
      <c r="B72">
        <v>3537288</v>
      </c>
      <c r="C72" s="1">
        <v>42754</v>
      </c>
      <c r="D72" s="3">
        <v>0.82499999999999996</v>
      </c>
      <c r="E72" s="2">
        <v>42754.804166666669</v>
      </c>
      <c r="F72" s="2"/>
      <c r="G72">
        <v>140609</v>
      </c>
      <c r="H72" t="s">
        <v>11</v>
      </c>
      <c r="I72" s="2">
        <v>42754.871527777781</v>
      </c>
      <c r="J72" t="s">
        <v>12</v>
      </c>
      <c r="K72">
        <v>-29.916666670000001</v>
      </c>
    </row>
    <row r="73" spans="1:11" x14ac:dyDescent="0.25">
      <c r="A73">
        <v>365003359</v>
      </c>
      <c r="B73">
        <v>3554715</v>
      </c>
      <c r="C73" s="1">
        <v>42761</v>
      </c>
      <c r="D73" s="3">
        <v>0.80069444444444449</v>
      </c>
      <c r="E73" s="2">
        <v>42761.803472222222</v>
      </c>
      <c r="F73" s="2"/>
      <c r="G73">
        <v>140609</v>
      </c>
      <c r="H73" t="s">
        <v>11</v>
      </c>
      <c r="I73" s="2">
        <v>42761.953472222223</v>
      </c>
      <c r="J73" t="s">
        <v>12</v>
      </c>
      <c r="K73">
        <v>4.2999999989999997</v>
      </c>
    </row>
    <row r="74" spans="1:11" x14ac:dyDescent="0.25">
      <c r="A74">
        <v>365003359</v>
      </c>
      <c r="B74">
        <v>4300806</v>
      </c>
      <c r="C74" s="1">
        <v>42971</v>
      </c>
      <c r="D74" s="3">
        <v>0.76388888888888884</v>
      </c>
      <c r="E74" s="2">
        <v>42971.8125</v>
      </c>
      <c r="F74" s="2"/>
      <c r="G74">
        <v>140609</v>
      </c>
      <c r="H74" t="s">
        <v>11</v>
      </c>
      <c r="I74" s="2">
        <v>42971.863194444442</v>
      </c>
      <c r="J74" t="s">
        <v>12</v>
      </c>
      <c r="K74">
        <v>69.233333340000001</v>
      </c>
    </row>
    <row r="75" spans="1:11" x14ac:dyDescent="0.25">
      <c r="A75">
        <v>365003359</v>
      </c>
      <c r="B75">
        <v>3626332</v>
      </c>
      <c r="C75" s="1">
        <v>42789</v>
      </c>
      <c r="D75" s="3">
        <v>0.78194444444444444</v>
      </c>
      <c r="E75" s="2">
        <v>42789.786111111112</v>
      </c>
      <c r="F75" s="2"/>
      <c r="G75">
        <v>140609</v>
      </c>
      <c r="H75" t="s">
        <v>13</v>
      </c>
      <c r="I75" s="2">
        <v>42788.754166666666</v>
      </c>
      <c r="J75" t="s">
        <v>12</v>
      </c>
      <c r="K75">
        <v>6.3166666659999997</v>
      </c>
    </row>
    <row r="76" spans="1:11" x14ac:dyDescent="0.25">
      <c r="A76">
        <v>365003359</v>
      </c>
      <c r="B76">
        <v>3787582</v>
      </c>
      <c r="C76" s="1">
        <v>42845</v>
      </c>
      <c r="D76" s="3">
        <v>0.79027777777777775</v>
      </c>
      <c r="E76" s="2">
        <v>42845.843055555553</v>
      </c>
      <c r="F76" s="2">
        <v>42839.71875</v>
      </c>
      <c r="G76">
        <v>140609</v>
      </c>
      <c r="H76" t="s">
        <v>18</v>
      </c>
      <c r="I76" s="2"/>
      <c r="J76" t="s">
        <v>12</v>
      </c>
      <c r="K76">
        <v>75.566666670000004</v>
      </c>
    </row>
    <row r="77" spans="1:11" x14ac:dyDescent="0.25">
      <c r="A77">
        <v>365003359</v>
      </c>
      <c r="B77">
        <v>3690939</v>
      </c>
      <c r="C77" s="1">
        <v>42815</v>
      </c>
      <c r="D77" s="3">
        <v>0.81944444444444442</v>
      </c>
      <c r="E77" s="2">
        <v>42815.854861111111</v>
      </c>
      <c r="F77" s="2"/>
      <c r="G77">
        <v>140609</v>
      </c>
      <c r="H77" t="s">
        <v>15</v>
      </c>
      <c r="I77" s="2">
        <v>42815.834027777775</v>
      </c>
      <c r="J77" t="s">
        <v>14</v>
      </c>
      <c r="K77">
        <v>50.666666669999998</v>
      </c>
    </row>
    <row r="78" spans="1:11" x14ac:dyDescent="0.25">
      <c r="A78">
        <v>365003359</v>
      </c>
      <c r="B78">
        <v>4433710</v>
      </c>
      <c r="C78" s="1">
        <v>43001</v>
      </c>
      <c r="D78" s="3">
        <v>0.41944444444444445</v>
      </c>
      <c r="E78" s="2">
        <v>43001.417361111111</v>
      </c>
      <c r="F78" s="2"/>
      <c r="G78">
        <v>140609</v>
      </c>
      <c r="H78" t="s">
        <v>15</v>
      </c>
      <c r="I78" s="2">
        <v>43001.786111111112</v>
      </c>
      <c r="J78" t="s">
        <v>12</v>
      </c>
      <c r="K78">
        <v>-2.9666666689999999</v>
      </c>
    </row>
    <row r="79" spans="1:11" x14ac:dyDescent="0.25">
      <c r="A79">
        <v>365003359</v>
      </c>
      <c r="B79">
        <v>3553975</v>
      </c>
      <c r="C79" s="1">
        <v>42764</v>
      </c>
      <c r="D79" s="3">
        <v>0.64236111111111116</v>
      </c>
      <c r="E79" s="2">
        <v>42764.670138888891</v>
      </c>
      <c r="F79" s="2">
        <v>42761.827777777777</v>
      </c>
      <c r="G79">
        <v>140609</v>
      </c>
      <c r="H79" t="s">
        <v>16</v>
      </c>
      <c r="I79" s="2">
        <v>42761.754861111112</v>
      </c>
      <c r="J79" t="s">
        <v>12</v>
      </c>
      <c r="K79">
        <v>40.233333340000001</v>
      </c>
    </row>
    <row r="80" spans="1:11" x14ac:dyDescent="0.25">
      <c r="A80">
        <v>365003359</v>
      </c>
      <c r="B80">
        <v>4974436</v>
      </c>
      <c r="C80" s="1">
        <v>43099</v>
      </c>
      <c r="D80" s="3">
        <v>0.40347222222222223</v>
      </c>
      <c r="E80" s="2">
        <v>43099.470833333333</v>
      </c>
      <c r="F80" s="2">
        <v>43093.96597222222</v>
      </c>
      <c r="G80">
        <v>235235</v>
      </c>
      <c r="H80" t="s">
        <v>18</v>
      </c>
      <c r="I80" s="2"/>
      <c r="J80" t="s">
        <v>12</v>
      </c>
      <c r="K80">
        <v>97</v>
      </c>
    </row>
    <row r="81" spans="1:11" x14ac:dyDescent="0.25">
      <c r="A81">
        <v>365003359</v>
      </c>
      <c r="B81">
        <v>3786590</v>
      </c>
      <c r="C81" s="1">
        <v>42838</v>
      </c>
      <c r="D81" s="3">
        <v>0.83263888888888893</v>
      </c>
      <c r="E81" s="2">
        <v>42838.855555555558</v>
      </c>
      <c r="F81" s="2"/>
      <c r="G81">
        <v>140609</v>
      </c>
      <c r="H81" t="s">
        <v>15</v>
      </c>
      <c r="I81" s="2">
        <v>42839.487500000003</v>
      </c>
      <c r="J81" t="s">
        <v>12</v>
      </c>
      <c r="K81">
        <v>32.683333339999997</v>
      </c>
    </row>
    <row r="82" spans="1:11" x14ac:dyDescent="0.25">
      <c r="A82">
        <v>365003359</v>
      </c>
      <c r="B82">
        <v>4037439</v>
      </c>
      <c r="C82" s="1">
        <v>42906</v>
      </c>
      <c r="D82" s="3">
        <v>0.80694444444444446</v>
      </c>
      <c r="E82" s="2">
        <v>42906.79583333333</v>
      </c>
      <c r="F82" s="2"/>
      <c r="G82">
        <v>140609</v>
      </c>
      <c r="H82" t="s">
        <v>11</v>
      </c>
      <c r="I82" s="2">
        <v>42906.825694444444</v>
      </c>
      <c r="J82" t="s">
        <v>12</v>
      </c>
      <c r="K82">
        <v>-15.2</v>
      </c>
    </row>
    <row r="83" spans="1:11" x14ac:dyDescent="0.25">
      <c r="A83">
        <v>365003359</v>
      </c>
      <c r="B83">
        <v>3713640</v>
      </c>
      <c r="C83" s="1">
        <v>42817</v>
      </c>
      <c r="D83" s="3">
        <v>0.77222222222222225</v>
      </c>
      <c r="E83" s="2">
        <v>42817.843055555553</v>
      </c>
      <c r="F83" s="2"/>
      <c r="G83">
        <v>140609</v>
      </c>
      <c r="H83" t="s">
        <v>15</v>
      </c>
      <c r="I83" s="2">
        <v>42817.79791666667</v>
      </c>
      <c r="J83" t="s">
        <v>12</v>
      </c>
      <c r="K83">
        <v>102.05</v>
      </c>
    </row>
    <row r="84" spans="1:11" x14ac:dyDescent="0.25">
      <c r="A84">
        <v>365003359</v>
      </c>
      <c r="B84">
        <v>3975949</v>
      </c>
      <c r="C84" s="1">
        <v>42893</v>
      </c>
      <c r="D84" s="3">
        <v>0.78541666666666665</v>
      </c>
      <c r="E84" s="2">
        <v>42893.751388888886</v>
      </c>
      <c r="F84" s="2"/>
      <c r="G84">
        <v>140609</v>
      </c>
      <c r="H84" t="s">
        <v>11</v>
      </c>
      <c r="I84" s="2">
        <v>42893.898611111108</v>
      </c>
      <c r="J84" t="s">
        <v>14</v>
      </c>
      <c r="K84">
        <v>-48.516666669999999</v>
      </c>
    </row>
    <row r="85" spans="1:11" x14ac:dyDescent="0.25">
      <c r="A85">
        <v>365003359</v>
      </c>
      <c r="B85">
        <v>4866514</v>
      </c>
      <c r="C85" s="1">
        <v>43078</v>
      </c>
      <c r="D85" s="3">
        <v>0.41666666666666669</v>
      </c>
      <c r="E85" s="2">
        <v>43078.484027777777</v>
      </c>
      <c r="F85" s="2"/>
      <c r="G85">
        <v>235235</v>
      </c>
      <c r="H85" t="s">
        <v>11</v>
      </c>
      <c r="I85" s="2">
        <v>43078.461805555555</v>
      </c>
      <c r="J85" t="s">
        <v>12</v>
      </c>
      <c r="K85">
        <v>96.65</v>
      </c>
    </row>
    <row r="86" spans="1:11" x14ac:dyDescent="0.25">
      <c r="A86">
        <v>365003359</v>
      </c>
      <c r="B86">
        <v>4352256</v>
      </c>
      <c r="C86" s="1">
        <v>42983</v>
      </c>
      <c r="D86" s="3">
        <v>0.7583333333333333</v>
      </c>
      <c r="E86" s="2">
        <v>42983.865277777775</v>
      </c>
      <c r="F86" s="2"/>
      <c r="G86">
        <v>140609</v>
      </c>
      <c r="H86" t="s">
        <v>11</v>
      </c>
      <c r="I86" s="2">
        <v>42983.879166666666</v>
      </c>
      <c r="J86" t="s">
        <v>12</v>
      </c>
      <c r="K86">
        <v>154.0166667</v>
      </c>
    </row>
    <row r="87" spans="1:11" x14ac:dyDescent="0.25">
      <c r="A87">
        <v>365003359</v>
      </c>
      <c r="B87">
        <v>3665690</v>
      </c>
      <c r="C87" s="1">
        <v>42808</v>
      </c>
      <c r="D87" s="3">
        <v>0.7729166666666667</v>
      </c>
      <c r="E87" s="2">
        <v>42808.827777777777</v>
      </c>
      <c r="F87" s="2"/>
      <c r="G87">
        <v>140609</v>
      </c>
      <c r="H87" t="s">
        <v>11</v>
      </c>
      <c r="I87" s="2">
        <v>42808.881249999999</v>
      </c>
      <c r="J87" t="s">
        <v>14</v>
      </c>
      <c r="K87">
        <v>78.983333340000001</v>
      </c>
    </row>
    <row r="88" spans="1:11" x14ac:dyDescent="0.25">
      <c r="A88">
        <v>365003359</v>
      </c>
      <c r="B88">
        <v>3526116</v>
      </c>
      <c r="C88" s="1">
        <v>42750</v>
      </c>
      <c r="D88" s="3">
        <v>0.59444444444444444</v>
      </c>
      <c r="E88" s="2">
        <v>42750.636805555558</v>
      </c>
      <c r="F88" s="2"/>
      <c r="G88">
        <v>140609</v>
      </c>
      <c r="H88" t="s">
        <v>11</v>
      </c>
      <c r="I88" s="2">
        <v>42750.695833333331</v>
      </c>
      <c r="J88" t="s">
        <v>12</v>
      </c>
      <c r="K88">
        <v>61.566666660000003</v>
      </c>
    </row>
    <row r="89" spans="1:11" x14ac:dyDescent="0.25">
      <c r="A89">
        <v>365003359</v>
      </c>
      <c r="B89">
        <v>3952548</v>
      </c>
      <c r="C89" s="1">
        <v>42885</v>
      </c>
      <c r="D89" s="3">
        <v>0.81944444444444442</v>
      </c>
      <c r="E89" s="2">
        <v>42885.835416666669</v>
      </c>
      <c r="F89" s="2"/>
      <c r="G89">
        <v>140609</v>
      </c>
      <c r="H89" t="s">
        <v>11</v>
      </c>
      <c r="I89" s="2">
        <v>42885.865972222222</v>
      </c>
      <c r="J89" t="s">
        <v>14</v>
      </c>
      <c r="K89">
        <v>22.766666669999999</v>
      </c>
    </row>
    <row r="90" spans="1:11" x14ac:dyDescent="0.25">
      <c r="A90">
        <v>365003359</v>
      </c>
      <c r="B90">
        <v>4651933</v>
      </c>
      <c r="C90" s="1">
        <v>43043</v>
      </c>
      <c r="D90" s="3">
        <v>0.3972222222222222</v>
      </c>
      <c r="E90" s="2">
        <v>43043.47152777778</v>
      </c>
      <c r="F90" s="2"/>
      <c r="G90">
        <v>235235</v>
      </c>
      <c r="H90" t="s">
        <v>11</v>
      </c>
      <c r="I90" s="2">
        <v>43043.449305555558</v>
      </c>
      <c r="J90" t="s">
        <v>12</v>
      </c>
      <c r="K90">
        <v>106.7833333</v>
      </c>
    </row>
    <row r="91" spans="1:11" x14ac:dyDescent="0.25">
      <c r="A91">
        <v>365003359</v>
      </c>
      <c r="B91">
        <v>3572459</v>
      </c>
      <c r="C91" s="1">
        <v>42768</v>
      </c>
      <c r="D91" s="3">
        <v>0.8208333333333333</v>
      </c>
      <c r="E91" s="2">
        <v>42768.788888888892</v>
      </c>
      <c r="F91" s="2"/>
      <c r="G91">
        <v>140609</v>
      </c>
      <c r="H91" t="s">
        <v>11</v>
      </c>
      <c r="I91" s="2">
        <v>42768.894444444442</v>
      </c>
      <c r="J91" t="s">
        <v>12</v>
      </c>
      <c r="K91">
        <v>-45.9</v>
      </c>
    </row>
    <row r="92" spans="1:11" x14ac:dyDescent="0.25">
      <c r="A92">
        <v>365003359</v>
      </c>
      <c r="B92">
        <v>3498192</v>
      </c>
      <c r="C92" s="1">
        <v>42740</v>
      </c>
      <c r="D92" s="3">
        <v>0.54513888888888884</v>
      </c>
      <c r="E92" s="2">
        <v>42740.595833333333</v>
      </c>
      <c r="F92" s="2"/>
      <c r="G92">
        <v>160022</v>
      </c>
      <c r="H92" t="s">
        <v>11</v>
      </c>
      <c r="I92" s="2">
        <v>42740.563194444447</v>
      </c>
      <c r="J92" t="s">
        <v>14</v>
      </c>
      <c r="K92">
        <v>73.349999990000001</v>
      </c>
    </row>
    <row r="93" spans="1:11" x14ac:dyDescent="0.25">
      <c r="A93">
        <v>365003359</v>
      </c>
      <c r="B93">
        <v>3650000</v>
      </c>
      <c r="C93" s="1">
        <v>42796</v>
      </c>
      <c r="D93" s="3">
        <v>0.75555555555555554</v>
      </c>
      <c r="E93" s="2">
        <v>42796.86041666667</v>
      </c>
      <c r="F93" s="2"/>
      <c r="G93">
        <v>140609</v>
      </c>
      <c r="H93" t="s">
        <v>11</v>
      </c>
      <c r="I93" s="2">
        <v>42796.94027777778</v>
      </c>
      <c r="J93" t="s">
        <v>12</v>
      </c>
      <c r="K93">
        <v>151.44999999999999</v>
      </c>
    </row>
    <row r="94" spans="1:11" x14ac:dyDescent="0.25">
      <c r="A94">
        <v>365003359</v>
      </c>
      <c r="B94">
        <v>4254510</v>
      </c>
      <c r="C94" s="1">
        <v>42962</v>
      </c>
      <c r="D94" s="3">
        <v>0.71111111111111114</v>
      </c>
      <c r="E94" s="2">
        <v>42962.818749999999</v>
      </c>
      <c r="F94" s="2">
        <v>42961.511111111111</v>
      </c>
      <c r="G94">
        <v>140609</v>
      </c>
      <c r="H94" t="s">
        <v>18</v>
      </c>
      <c r="I94" s="2"/>
      <c r="J94" t="s">
        <v>12</v>
      </c>
      <c r="K94">
        <v>154.6333333</v>
      </c>
    </row>
    <row r="95" spans="1:11" x14ac:dyDescent="0.25">
      <c r="A95">
        <v>365003359</v>
      </c>
      <c r="B95">
        <v>4797363</v>
      </c>
      <c r="C95" s="1">
        <v>43071</v>
      </c>
      <c r="D95" s="3">
        <v>0.41041666666666665</v>
      </c>
      <c r="E95" s="2">
        <v>43071.476388888892</v>
      </c>
      <c r="F95" s="2">
        <v>43067.839583333334</v>
      </c>
      <c r="G95">
        <v>235235</v>
      </c>
      <c r="H95" t="s">
        <v>18</v>
      </c>
      <c r="I95" s="2"/>
      <c r="J95" t="s">
        <v>12</v>
      </c>
      <c r="K95">
        <v>94.283333339999999</v>
      </c>
    </row>
    <row r="96" spans="1:11" x14ac:dyDescent="0.25">
      <c r="A96">
        <v>365003359</v>
      </c>
      <c r="B96">
        <v>3469277</v>
      </c>
      <c r="C96" s="1">
        <v>42736</v>
      </c>
      <c r="D96" s="3">
        <v>0.48472222222222222</v>
      </c>
      <c r="E96" s="2">
        <v>42736.464583333334</v>
      </c>
      <c r="F96" s="2">
        <v>42723.788888888892</v>
      </c>
      <c r="G96">
        <v>160022</v>
      </c>
      <c r="H96" t="s">
        <v>18</v>
      </c>
      <c r="I96" s="2"/>
      <c r="J96" t="s">
        <v>12</v>
      </c>
      <c r="K96">
        <v>-28.916666670000001</v>
      </c>
    </row>
    <row r="97" spans="1:11" x14ac:dyDescent="0.25">
      <c r="A97">
        <v>365003359</v>
      </c>
      <c r="B97">
        <v>4518645</v>
      </c>
      <c r="C97" s="1">
        <v>43029</v>
      </c>
      <c r="D97" s="3">
        <v>0.43541666666666667</v>
      </c>
      <c r="E97" s="2">
        <v>43029.479861111111</v>
      </c>
      <c r="F97" s="2">
        <v>43019.67083333333</v>
      </c>
      <c r="G97">
        <v>279471</v>
      </c>
      <c r="H97" t="s">
        <v>18</v>
      </c>
      <c r="I97" s="2"/>
      <c r="J97" t="s">
        <v>12</v>
      </c>
      <c r="K97">
        <v>63.799999990000003</v>
      </c>
    </row>
    <row r="98" spans="1:11" x14ac:dyDescent="0.25">
      <c r="A98">
        <v>365003359</v>
      </c>
      <c r="B98">
        <v>3862942</v>
      </c>
      <c r="C98" s="1">
        <v>42861</v>
      </c>
      <c r="D98" s="3">
        <v>0.71250000000000002</v>
      </c>
      <c r="E98" s="2">
        <v>42861.703472222223</v>
      </c>
      <c r="F98" s="2">
        <v>42860.061111111114</v>
      </c>
      <c r="G98">
        <v>140609</v>
      </c>
      <c r="H98" t="s">
        <v>18</v>
      </c>
      <c r="I98" s="2"/>
      <c r="J98" t="s">
        <v>12</v>
      </c>
      <c r="K98">
        <v>-13.43333333</v>
      </c>
    </row>
    <row r="99" spans="1:11" x14ac:dyDescent="0.25">
      <c r="A99">
        <v>365003359</v>
      </c>
      <c r="B99">
        <v>4691938</v>
      </c>
      <c r="C99" s="1">
        <v>43050</v>
      </c>
      <c r="D99" s="3">
        <v>0.45347222222222222</v>
      </c>
      <c r="E99" s="2">
        <v>43050.467361111114</v>
      </c>
      <c r="F99" s="2"/>
      <c r="G99">
        <v>235235</v>
      </c>
      <c r="H99" t="s">
        <v>11</v>
      </c>
      <c r="I99" s="2">
        <v>43050.470138888886</v>
      </c>
      <c r="J99" t="s">
        <v>12</v>
      </c>
      <c r="K99">
        <v>19.716666669999999</v>
      </c>
    </row>
    <row r="100" spans="1:11" x14ac:dyDescent="0.25">
      <c r="C100" s="1"/>
      <c r="D100" s="3"/>
      <c r="E100" s="2"/>
      <c r="F100" s="2"/>
      <c r="I100" s="2"/>
      <c r="K100" s="4">
        <f>AVERAGE(Уроки__4[Продолжительность урока])</f>
        <v>48.997959184204085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0304-9CC6-9040-865B-9465A1B8E04A}">
  <dimension ref="A1:B9"/>
  <sheetViews>
    <sheetView tabSelected="1" workbookViewId="0">
      <selection activeCell="E9" sqref="E9"/>
    </sheetView>
  </sheetViews>
  <sheetFormatPr defaultColWidth="11" defaultRowHeight="15.75" x14ac:dyDescent="0.25"/>
  <cols>
    <col min="1" max="1" width="16.75" bestFit="1" customWidth="1"/>
    <col min="2" max="2" width="27.75" bestFit="1" customWidth="1"/>
  </cols>
  <sheetData>
    <row r="1" spans="1:2" x14ac:dyDescent="0.25">
      <c r="A1" s="5" t="s">
        <v>20</v>
      </c>
      <c r="B1" t="s">
        <v>19</v>
      </c>
    </row>
    <row r="2" spans="1:2" x14ac:dyDescent="0.25">
      <c r="A2" s="6" t="s">
        <v>21</v>
      </c>
      <c r="B2" s="7">
        <v>5.0064238419483036E-2</v>
      </c>
    </row>
    <row r="3" spans="1:2" x14ac:dyDescent="0.25">
      <c r="A3" s="6" t="s">
        <v>22</v>
      </c>
      <c r="B3" s="7">
        <v>8.0121825970410065E-2</v>
      </c>
    </row>
    <row r="4" spans="1:2" x14ac:dyDescent="0.25">
      <c r="A4" s="6" t="s">
        <v>23</v>
      </c>
      <c r="B4" s="7">
        <v>0.76991156624277945</v>
      </c>
    </row>
    <row r="5" spans="1:2" x14ac:dyDescent="0.25">
      <c r="A5" s="6" t="s">
        <v>24</v>
      </c>
      <c r="B5" s="7">
        <v>1.8382721271437239E-7</v>
      </c>
    </row>
    <row r="6" spans="1:2" x14ac:dyDescent="0.25">
      <c r="A6" s="6" t="s">
        <v>25</v>
      </c>
      <c r="B6" s="7">
        <v>2.9929643810877829E-2</v>
      </c>
    </row>
    <row r="7" spans="1:2" x14ac:dyDescent="0.25">
      <c r="A7" s="6" t="s">
        <v>26</v>
      </c>
      <c r="B7" s="7">
        <v>1.9974113451905563E-2</v>
      </c>
    </row>
    <row r="8" spans="1:2" x14ac:dyDescent="0.25">
      <c r="A8" s="6" t="s">
        <v>27</v>
      </c>
      <c r="B8" s="7">
        <v>4.9998428277331294E-2</v>
      </c>
    </row>
    <row r="9" spans="1:2" x14ac:dyDescent="0.25">
      <c r="A9" s="6" t="s">
        <v>28</v>
      </c>
      <c r="B9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E819-142F-4C1A-9A2F-1AC3B0F43D8D}">
  <dimension ref="A1:F205"/>
  <sheetViews>
    <sheetView workbookViewId="0">
      <selection activeCell="H7" sqref="H7"/>
    </sheetView>
  </sheetViews>
  <sheetFormatPr defaultRowHeight="15.75" x14ac:dyDescent="0.25"/>
  <cols>
    <col min="1" max="1" width="5" bestFit="1" customWidth="1"/>
    <col min="2" max="2" width="31.125" bestFit="1" customWidth="1"/>
    <col min="3" max="4" width="19.625" bestFit="1" customWidth="1"/>
    <col min="5" max="6" width="21.75" bestFit="1" customWidth="1"/>
  </cols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B2" t="s">
        <v>35</v>
      </c>
      <c r="C2">
        <v>146570</v>
      </c>
      <c r="D2">
        <v>143341</v>
      </c>
      <c r="E2">
        <v>129313</v>
      </c>
      <c r="F2">
        <v>138193</v>
      </c>
    </row>
    <row r="3" spans="1:6" x14ac:dyDescent="0.25">
      <c r="B3" t="s">
        <v>36</v>
      </c>
      <c r="C3">
        <v>141796</v>
      </c>
      <c r="D3">
        <v>141500</v>
      </c>
      <c r="E3">
        <v>118887</v>
      </c>
      <c r="F3">
        <v>127564</v>
      </c>
    </row>
    <row r="4" spans="1:6" x14ac:dyDescent="0.25">
      <c r="B4" t="s">
        <v>37</v>
      </c>
      <c r="C4">
        <v>133822</v>
      </c>
      <c r="D4">
        <v>127623</v>
      </c>
      <c r="E4">
        <v>113786</v>
      </c>
      <c r="F4">
        <v>133789</v>
      </c>
    </row>
    <row r="5" spans="1:6" x14ac:dyDescent="0.25">
      <c r="B5" t="s">
        <v>38</v>
      </c>
      <c r="C5">
        <v>104459</v>
      </c>
      <c r="D5">
        <v>124253</v>
      </c>
      <c r="E5">
        <v>71552</v>
      </c>
      <c r="F5">
        <v>78408</v>
      </c>
    </row>
    <row r="6" spans="1:6" x14ac:dyDescent="0.25">
      <c r="B6" t="s">
        <v>39</v>
      </c>
      <c r="C6">
        <v>108865</v>
      </c>
      <c r="D6">
        <v>121124</v>
      </c>
      <c r="E6">
        <v>105201</v>
      </c>
      <c r="F6">
        <v>115045</v>
      </c>
    </row>
    <row r="7" spans="1:6" x14ac:dyDescent="0.25">
      <c r="B7" t="s">
        <v>40</v>
      </c>
      <c r="C7">
        <v>91509</v>
      </c>
    </row>
    <row r="8" spans="1:6" x14ac:dyDescent="0.25">
      <c r="B8" t="s">
        <v>41</v>
      </c>
      <c r="C8">
        <v>75898</v>
      </c>
    </row>
    <row r="9" spans="1:6" x14ac:dyDescent="0.25">
      <c r="B9" t="s">
        <v>42</v>
      </c>
      <c r="C9">
        <v>68913</v>
      </c>
      <c r="D9">
        <v>78915</v>
      </c>
      <c r="E9">
        <v>75396</v>
      </c>
      <c r="F9">
        <v>83727</v>
      </c>
    </row>
    <row r="10" spans="1:6" x14ac:dyDescent="0.25">
      <c r="B10" t="s">
        <v>43</v>
      </c>
      <c r="C10">
        <v>81603</v>
      </c>
      <c r="D10">
        <v>90746</v>
      </c>
      <c r="E10">
        <v>78081</v>
      </c>
      <c r="F10">
        <v>84661</v>
      </c>
    </row>
    <row r="11" spans="1:6" x14ac:dyDescent="0.25">
      <c r="B11" t="s">
        <v>44</v>
      </c>
      <c r="C11">
        <v>70219</v>
      </c>
      <c r="D11">
        <v>76329</v>
      </c>
      <c r="E11">
        <v>70160</v>
      </c>
      <c r="F11">
        <v>76348</v>
      </c>
    </row>
    <row r="12" spans="1:6" x14ac:dyDescent="0.25">
      <c r="B12" t="s">
        <v>45</v>
      </c>
      <c r="C12">
        <v>65718</v>
      </c>
      <c r="E12">
        <v>67490</v>
      </c>
      <c r="F12">
        <v>75335</v>
      </c>
    </row>
    <row r="13" spans="1:6" x14ac:dyDescent="0.25">
      <c r="B13" t="s">
        <v>46</v>
      </c>
      <c r="C13">
        <v>69879</v>
      </c>
      <c r="D13">
        <v>77953</v>
      </c>
      <c r="E13">
        <v>64329</v>
      </c>
      <c r="F13">
        <v>70924</v>
      </c>
    </row>
    <row r="14" spans="1:6" x14ac:dyDescent="0.25">
      <c r="B14" t="s">
        <v>47</v>
      </c>
      <c r="C14">
        <v>67693</v>
      </c>
      <c r="D14">
        <v>74542</v>
      </c>
      <c r="E14">
        <v>62969</v>
      </c>
      <c r="F14">
        <v>69963</v>
      </c>
    </row>
    <row r="15" spans="1:6" x14ac:dyDescent="0.25">
      <c r="B15" t="s">
        <v>48</v>
      </c>
      <c r="C15">
        <v>79364</v>
      </c>
      <c r="D15">
        <v>82893</v>
      </c>
      <c r="E15">
        <v>67048</v>
      </c>
      <c r="F15">
        <v>70500</v>
      </c>
    </row>
    <row r="16" spans="1:6" x14ac:dyDescent="0.25">
      <c r="B16" t="s">
        <v>49</v>
      </c>
      <c r="C16">
        <v>61481</v>
      </c>
      <c r="D16">
        <v>71840</v>
      </c>
      <c r="E16">
        <v>59575</v>
      </c>
      <c r="F16">
        <v>66512</v>
      </c>
    </row>
    <row r="17" spans="2:6" x14ac:dyDescent="0.25">
      <c r="B17" t="s">
        <v>50</v>
      </c>
      <c r="C17">
        <v>65877</v>
      </c>
      <c r="D17">
        <v>68685</v>
      </c>
      <c r="E17">
        <v>66356</v>
      </c>
      <c r="F17">
        <v>69153</v>
      </c>
    </row>
    <row r="18" spans="2:6" x14ac:dyDescent="0.25">
      <c r="B18" t="s">
        <v>51</v>
      </c>
      <c r="E18">
        <v>62965</v>
      </c>
      <c r="F18">
        <v>69151</v>
      </c>
    </row>
    <row r="19" spans="2:6" x14ac:dyDescent="0.25">
      <c r="B19" t="s">
        <v>52</v>
      </c>
      <c r="C19">
        <v>63421</v>
      </c>
      <c r="D19">
        <v>70976</v>
      </c>
      <c r="E19">
        <v>59917</v>
      </c>
      <c r="F19">
        <v>66984</v>
      </c>
    </row>
    <row r="20" spans="2:6" x14ac:dyDescent="0.25">
      <c r="B20" t="s">
        <v>53</v>
      </c>
      <c r="C20">
        <v>58830</v>
      </c>
      <c r="D20">
        <v>67841</v>
      </c>
      <c r="E20">
        <v>58641</v>
      </c>
      <c r="F20">
        <v>66883</v>
      </c>
    </row>
    <row r="21" spans="2:6" x14ac:dyDescent="0.25">
      <c r="B21" t="s">
        <v>54</v>
      </c>
      <c r="C21">
        <v>62107</v>
      </c>
      <c r="D21">
        <v>68253</v>
      </c>
      <c r="E21">
        <v>57485</v>
      </c>
      <c r="F21">
        <v>63070</v>
      </c>
    </row>
    <row r="22" spans="2:6" x14ac:dyDescent="0.25">
      <c r="B22" t="s">
        <v>55</v>
      </c>
      <c r="C22">
        <v>63375</v>
      </c>
      <c r="D22">
        <v>68178</v>
      </c>
      <c r="E22">
        <v>60028</v>
      </c>
      <c r="F22">
        <v>65496</v>
      </c>
    </row>
    <row r="23" spans="2:6" x14ac:dyDescent="0.25">
      <c r="B23" t="s">
        <v>56</v>
      </c>
      <c r="C23">
        <v>61940</v>
      </c>
      <c r="D23">
        <v>66616</v>
      </c>
      <c r="E23">
        <v>59017</v>
      </c>
      <c r="F23">
        <v>63816</v>
      </c>
    </row>
    <row r="24" spans="2:6" x14ac:dyDescent="0.25">
      <c r="B24" t="s">
        <v>57</v>
      </c>
      <c r="C24">
        <v>57406</v>
      </c>
      <c r="D24">
        <v>65388</v>
      </c>
      <c r="E24">
        <v>56991</v>
      </c>
      <c r="F24">
        <v>62714</v>
      </c>
    </row>
    <row r="25" spans="2:6" x14ac:dyDescent="0.25">
      <c r="B25" t="s">
        <v>58</v>
      </c>
      <c r="C25">
        <v>54352</v>
      </c>
      <c r="D25">
        <v>60635</v>
      </c>
      <c r="E25">
        <v>53401</v>
      </c>
      <c r="F25">
        <v>58083</v>
      </c>
    </row>
    <row r="26" spans="2:6" x14ac:dyDescent="0.25">
      <c r="B26" t="s">
        <v>59</v>
      </c>
      <c r="C26">
        <v>47754</v>
      </c>
      <c r="D26">
        <v>54855</v>
      </c>
      <c r="E26">
        <v>54179</v>
      </c>
      <c r="F26">
        <v>61808</v>
      </c>
    </row>
    <row r="27" spans="2:6" x14ac:dyDescent="0.25">
      <c r="B27" t="s">
        <v>60</v>
      </c>
      <c r="C27">
        <v>57849</v>
      </c>
      <c r="D27">
        <v>62823</v>
      </c>
      <c r="E27">
        <v>53833</v>
      </c>
      <c r="F27">
        <v>58651</v>
      </c>
    </row>
    <row r="28" spans="2:6" x14ac:dyDescent="0.25">
      <c r="B28" t="s">
        <v>61</v>
      </c>
      <c r="C28">
        <v>55635</v>
      </c>
      <c r="D28">
        <v>61380</v>
      </c>
      <c r="E28">
        <v>53570</v>
      </c>
      <c r="F28">
        <v>58292</v>
      </c>
    </row>
    <row r="29" spans="2:6" x14ac:dyDescent="0.25">
      <c r="B29" t="s">
        <v>62</v>
      </c>
      <c r="C29">
        <v>48130</v>
      </c>
      <c r="D29">
        <v>55837</v>
      </c>
      <c r="E29">
        <v>45207</v>
      </c>
      <c r="F29">
        <v>51471</v>
      </c>
    </row>
    <row r="30" spans="2:6" x14ac:dyDescent="0.25">
      <c r="B30" t="s">
        <v>63</v>
      </c>
      <c r="C30">
        <v>53387</v>
      </c>
      <c r="D30">
        <v>58547</v>
      </c>
      <c r="E30">
        <v>51270</v>
      </c>
      <c r="F30">
        <v>58072</v>
      </c>
    </row>
    <row r="31" spans="2:6" x14ac:dyDescent="0.25">
      <c r="B31" t="s">
        <v>64</v>
      </c>
      <c r="C31">
        <v>53835</v>
      </c>
      <c r="D31">
        <v>57594</v>
      </c>
      <c r="E31">
        <v>51547</v>
      </c>
      <c r="F31">
        <v>56426</v>
      </c>
    </row>
    <row r="32" spans="2:6" x14ac:dyDescent="0.25">
      <c r="B32" t="s">
        <v>65</v>
      </c>
      <c r="C32">
        <v>73734</v>
      </c>
      <c r="D32">
        <v>61231</v>
      </c>
      <c r="E32">
        <v>71857</v>
      </c>
      <c r="F32">
        <v>55209</v>
      </c>
    </row>
    <row r="33" spans="2:6" x14ac:dyDescent="0.25">
      <c r="B33" t="s">
        <v>66</v>
      </c>
      <c r="C33">
        <v>52842</v>
      </c>
      <c r="D33">
        <v>57461</v>
      </c>
      <c r="E33">
        <v>49591</v>
      </c>
      <c r="F33">
        <v>54795</v>
      </c>
    </row>
    <row r="34" spans="2:6" x14ac:dyDescent="0.25">
      <c r="B34" t="s">
        <v>67</v>
      </c>
      <c r="C34">
        <v>48556</v>
      </c>
      <c r="D34">
        <v>52547</v>
      </c>
      <c r="E34">
        <v>47441</v>
      </c>
      <c r="F34">
        <v>51861</v>
      </c>
    </row>
    <row r="35" spans="2:6" x14ac:dyDescent="0.25">
      <c r="B35" t="s">
        <v>68</v>
      </c>
      <c r="C35">
        <v>49913</v>
      </c>
      <c r="D35">
        <v>55442</v>
      </c>
      <c r="E35">
        <v>46696</v>
      </c>
      <c r="F35">
        <v>51847</v>
      </c>
    </row>
    <row r="36" spans="2:6" x14ac:dyDescent="0.25">
      <c r="B36" t="s">
        <v>69</v>
      </c>
      <c r="C36">
        <v>48595</v>
      </c>
      <c r="D36">
        <v>51666</v>
      </c>
      <c r="E36">
        <v>48860</v>
      </c>
      <c r="F36">
        <v>53736</v>
      </c>
    </row>
    <row r="37" spans="2:6" x14ac:dyDescent="0.25">
      <c r="B37" t="s">
        <v>70</v>
      </c>
      <c r="C37">
        <v>46502</v>
      </c>
      <c r="D37">
        <v>51282</v>
      </c>
      <c r="E37">
        <v>44358</v>
      </c>
      <c r="F37">
        <v>50059</v>
      </c>
    </row>
    <row r="38" spans="2:6" x14ac:dyDescent="0.25">
      <c r="B38" t="s">
        <v>71</v>
      </c>
      <c r="C38">
        <v>48418</v>
      </c>
      <c r="D38">
        <v>51695</v>
      </c>
      <c r="E38">
        <v>44305</v>
      </c>
      <c r="F38">
        <v>49421</v>
      </c>
    </row>
    <row r="39" spans="2:6" x14ac:dyDescent="0.25">
      <c r="B39" t="s">
        <v>72</v>
      </c>
      <c r="C39">
        <v>48469</v>
      </c>
      <c r="D39">
        <v>53786</v>
      </c>
      <c r="E39">
        <v>46250</v>
      </c>
      <c r="F39">
        <v>51775</v>
      </c>
    </row>
    <row r="40" spans="2:6" x14ac:dyDescent="0.25">
      <c r="B40" t="s">
        <v>73</v>
      </c>
      <c r="C40">
        <v>46127</v>
      </c>
      <c r="D40">
        <v>52134</v>
      </c>
      <c r="E40">
        <v>46865</v>
      </c>
      <c r="F40">
        <v>52349</v>
      </c>
    </row>
    <row r="41" spans="2:6" x14ac:dyDescent="0.25">
      <c r="B41" t="s">
        <v>74</v>
      </c>
      <c r="C41">
        <v>46410</v>
      </c>
      <c r="D41">
        <v>50969</v>
      </c>
      <c r="E41">
        <v>43455</v>
      </c>
      <c r="F41">
        <v>47107</v>
      </c>
    </row>
    <row r="42" spans="2:6" x14ac:dyDescent="0.25">
      <c r="B42" t="s">
        <v>75</v>
      </c>
      <c r="C42">
        <v>45047</v>
      </c>
      <c r="D42">
        <v>48168</v>
      </c>
      <c r="E42">
        <v>42826</v>
      </c>
      <c r="F42">
        <v>45206</v>
      </c>
    </row>
    <row r="43" spans="2:6" x14ac:dyDescent="0.25">
      <c r="B43" t="s">
        <v>76</v>
      </c>
      <c r="C43">
        <v>43621</v>
      </c>
      <c r="D43">
        <v>48686</v>
      </c>
      <c r="E43">
        <v>41921</v>
      </c>
      <c r="F43">
        <v>47111</v>
      </c>
    </row>
    <row r="44" spans="2:6" x14ac:dyDescent="0.25">
      <c r="B44" t="s">
        <v>77</v>
      </c>
      <c r="C44">
        <v>38226</v>
      </c>
      <c r="E44">
        <v>41930</v>
      </c>
      <c r="F44">
        <v>47244</v>
      </c>
    </row>
    <row r="45" spans="2:6" x14ac:dyDescent="0.25">
      <c r="B45" t="s">
        <v>78</v>
      </c>
      <c r="C45">
        <v>44292</v>
      </c>
      <c r="D45">
        <v>46850</v>
      </c>
      <c r="E45">
        <v>45224</v>
      </c>
      <c r="F45">
        <v>49044</v>
      </c>
    </row>
    <row r="46" spans="2:6" x14ac:dyDescent="0.25">
      <c r="B46" t="s">
        <v>79</v>
      </c>
      <c r="C46">
        <v>40463</v>
      </c>
      <c r="D46">
        <v>46610</v>
      </c>
      <c r="E46">
        <v>38555</v>
      </c>
      <c r="F46">
        <v>43480</v>
      </c>
    </row>
    <row r="47" spans="2:6" x14ac:dyDescent="0.25">
      <c r="B47" t="s">
        <v>80</v>
      </c>
      <c r="C47">
        <v>38644</v>
      </c>
      <c r="D47">
        <v>43660</v>
      </c>
      <c r="E47">
        <v>37443</v>
      </c>
      <c r="F47">
        <v>42044</v>
      </c>
    </row>
    <row r="48" spans="2:6" x14ac:dyDescent="0.25">
      <c r="B48" t="s">
        <v>81</v>
      </c>
      <c r="C48">
        <v>37971</v>
      </c>
      <c r="D48">
        <v>43240</v>
      </c>
      <c r="E48">
        <v>34245</v>
      </c>
      <c r="F48">
        <v>38721</v>
      </c>
    </row>
    <row r="49" spans="2:6" x14ac:dyDescent="0.25">
      <c r="B49" t="s">
        <v>82</v>
      </c>
      <c r="C49">
        <v>39466</v>
      </c>
    </row>
    <row r="50" spans="2:6" x14ac:dyDescent="0.25">
      <c r="B50" t="s">
        <v>83</v>
      </c>
      <c r="C50">
        <v>38931</v>
      </c>
      <c r="D50">
        <v>42939</v>
      </c>
      <c r="E50">
        <v>37784</v>
      </c>
      <c r="F50">
        <v>41251</v>
      </c>
    </row>
    <row r="51" spans="2:6" x14ac:dyDescent="0.25">
      <c r="B51" t="s">
        <v>84</v>
      </c>
      <c r="C51">
        <v>38783</v>
      </c>
      <c r="D51">
        <v>44484</v>
      </c>
      <c r="E51">
        <v>37332</v>
      </c>
      <c r="F51">
        <v>42634</v>
      </c>
    </row>
    <row r="52" spans="2:6" x14ac:dyDescent="0.25">
      <c r="B52" t="s">
        <v>85</v>
      </c>
      <c r="C52">
        <v>23176</v>
      </c>
      <c r="D52">
        <v>40320</v>
      </c>
      <c r="E52">
        <v>24662</v>
      </c>
      <c r="F52">
        <v>42699</v>
      </c>
    </row>
    <row r="53" spans="2:6" x14ac:dyDescent="0.25">
      <c r="B53" t="s">
        <v>86</v>
      </c>
      <c r="E53">
        <v>36725</v>
      </c>
      <c r="F53">
        <v>41642</v>
      </c>
    </row>
    <row r="54" spans="2:6" x14ac:dyDescent="0.25">
      <c r="B54" t="s">
        <v>87</v>
      </c>
      <c r="C54">
        <v>36954</v>
      </c>
      <c r="D54">
        <v>42171</v>
      </c>
      <c r="E54">
        <v>35054</v>
      </c>
      <c r="F54">
        <v>40143</v>
      </c>
    </row>
    <row r="55" spans="2:6" x14ac:dyDescent="0.25">
      <c r="B55" t="s">
        <v>88</v>
      </c>
      <c r="C55">
        <v>28910</v>
      </c>
      <c r="D55">
        <v>35211</v>
      </c>
      <c r="E55">
        <v>34929</v>
      </c>
      <c r="F55">
        <v>41023</v>
      </c>
    </row>
    <row r="56" spans="2:6" x14ac:dyDescent="0.25">
      <c r="B56" t="s">
        <v>89</v>
      </c>
      <c r="C56">
        <v>36778</v>
      </c>
      <c r="D56">
        <v>41625</v>
      </c>
      <c r="E56">
        <v>35252</v>
      </c>
      <c r="F56">
        <v>38545</v>
      </c>
    </row>
    <row r="57" spans="2:6" x14ac:dyDescent="0.25">
      <c r="B57" t="s">
        <v>90</v>
      </c>
      <c r="C57">
        <v>30896</v>
      </c>
      <c r="D57">
        <v>36170</v>
      </c>
      <c r="E57">
        <v>32144</v>
      </c>
      <c r="F57">
        <v>37336</v>
      </c>
    </row>
    <row r="58" spans="2:6" x14ac:dyDescent="0.25">
      <c r="B58" t="s">
        <v>91</v>
      </c>
      <c r="C58">
        <v>37795</v>
      </c>
      <c r="D58">
        <v>41013</v>
      </c>
      <c r="E58">
        <v>36132</v>
      </c>
      <c r="F58">
        <v>39490</v>
      </c>
    </row>
    <row r="59" spans="2:6" x14ac:dyDescent="0.25">
      <c r="B59" t="s">
        <v>92</v>
      </c>
      <c r="C59">
        <v>31638</v>
      </c>
      <c r="D59">
        <v>38355</v>
      </c>
      <c r="E59">
        <v>35038</v>
      </c>
      <c r="F59">
        <v>39301</v>
      </c>
    </row>
    <row r="60" spans="2:6" x14ac:dyDescent="0.25">
      <c r="B60" t="s">
        <v>93</v>
      </c>
      <c r="C60">
        <v>33018</v>
      </c>
      <c r="D60">
        <v>38923</v>
      </c>
      <c r="E60">
        <v>32433</v>
      </c>
      <c r="F60">
        <v>36909</v>
      </c>
    </row>
    <row r="61" spans="2:6" x14ac:dyDescent="0.25">
      <c r="B61" t="s">
        <v>94</v>
      </c>
      <c r="C61">
        <v>38971</v>
      </c>
      <c r="D61">
        <v>40813</v>
      </c>
      <c r="E61">
        <v>31274</v>
      </c>
      <c r="F61">
        <v>33263</v>
      </c>
    </row>
    <row r="62" spans="2:6" x14ac:dyDescent="0.25">
      <c r="B62" t="s">
        <v>95</v>
      </c>
      <c r="C62">
        <v>25938</v>
      </c>
      <c r="D62">
        <v>25058</v>
      </c>
      <c r="E62">
        <v>32129</v>
      </c>
      <c r="F62">
        <v>37089</v>
      </c>
    </row>
    <row r="63" spans="2:6" x14ac:dyDescent="0.25">
      <c r="B63" t="s">
        <v>96</v>
      </c>
      <c r="C63">
        <v>26419</v>
      </c>
      <c r="D63">
        <v>30748</v>
      </c>
      <c r="E63">
        <v>23930</v>
      </c>
      <c r="F63">
        <v>27617</v>
      </c>
    </row>
    <row r="64" spans="2:6" x14ac:dyDescent="0.25">
      <c r="B64" t="s">
        <v>97</v>
      </c>
      <c r="C64">
        <v>29407</v>
      </c>
      <c r="D64">
        <v>35470</v>
      </c>
      <c r="E64">
        <v>27156</v>
      </c>
      <c r="F64">
        <v>30216</v>
      </c>
    </row>
    <row r="65" spans="2:6" x14ac:dyDescent="0.25">
      <c r="B65" t="s">
        <v>98</v>
      </c>
      <c r="C65">
        <v>30456</v>
      </c>
      <c r="D65">
        <v>35040</v>
      </c>
      <c r="E65">
        <v>29944</v>
      </c>
      <c r="F65">
        <v>34392</v>
      </c>
    </row>
    <row r="66" spans="2:6" x14ac:dyDescent="0.25">
      <c r="B66" t="s">
        <v>99</v>
      </c>
      <c r="C66">
        <v>34236</v>
      </c>
      <c r="D66">
        <v>36620</v>
      </c>
      <c r="E66">
        <v>27987</v>
      </c>
      <c r="F66">
        <v>30544</v>
      </c>
    </row>
    <row r="67" spans="2:6" x14ac:dyDescent="0.25">
      <c r="B67" t="s">
        <v>100</v>
      </c>
      <c r="C67">
        <v>29148</v>
      </c>
      <c r="D67">
        <v>31437</v>
      </c>
      <c r="E67">
        <v>26807</v>
      </c>
      <c r="F67">
        <v>29083</v>
      </c>
    </row>
    <row r="68" spans="2:6" x14ac:dyDescent="0.25">
      <c r="B68" t="s">
        <v>101</v>
      </c>
      <c r="C68">
        <v>29501</v>
      </c>
      <c r="D68">
        <v>33165</v>
      </c>
      <c r="E68">
        <v>24340</v>
      </c>
      <c r="F68">
        <v>27227</v>
      </c>
    </row>
    <row r="69" spans="2:6" x14ac:dyDescent="0.25">
      <c r="B69" t="s">
        <v>102</v>
      </c>
      <c r="C69">
        <v>27632</v>
      </c>
      <c r="D69">
        <v>29910</v>
      </c>
      <c r="E69">
        <v>27567</v>
      </c>
      <c r="F69">
        <v>30075</v>
      </c>
    </row>
    <row r="70" spans="2:6" x14ac:dyDescent="0.25">
      <c r="B70" t="s">
        <v>103</v>
      </c>
      <c r="C70">
        <v>24511</v>
      </c>
      <c r="D70">
        <v>28325</v>
      </c>
      <c r="E70">
        <v>22787</v>
      </c>
      <c r="F70">
        <v>25927</v>
      </c>
    </row>
    <row r="71" spans="2:6" x14ac:dyDescent="0.25">
      <c r="B71" t="s">
        <v>104</v>
      </c>
      <c r="C71">
        <v>22738</v>
      </c>
      <c r="D71">
        <v>26580</v>
      </c>
      <c r="E71">
        <v>23131</v>
      </c>
      <c r="F71">
        <v>26851</v>
      </c>
    </row>
    <row r="72" spans="2:6" x14ac:dyDescent="0.25">
      <c r="B72" t="s">
        <v>105</v>
      </c>
      <c r="C72">
        <v>26087</v>
      </c>
      <c r="D72">
        <v>29037</v>
      </c>
      <c r="E72">
        <v>23737</v>
      </c>
      <c r="F72">
        <v>26467</v>
      </c>
    </row>
    <row r="73" spans="2:6" x14ac:dyDescent="0.25">
      <c r="B73" t="s">
        <v>106</v>
      </c>
      <c r="C73">
        <v>25493</v>
      </c>
      <c r="D73">
        <v>29712</v>
      </c>
      <c r="E73">
        <v>19803</v>
      </c>
      <c r="F73">
        <v>22225</v>
      </c>
    </row>
    <row r="74" spans="2:6" x14ac:dyDescent="0.25">
      <c r="B74" t="s">
        <v>107</v>
      </c>
      <c r="C74">
        <v>25164</v>
      </c>
      <c r="D74">
        <v>29521</v>
      </c>
    </row>
    <row r="75" spans="2:6" x14ac:dyDescent="0.25">
      <c r="B75" t="s">
        <v>108</v>
      </c>
      <c r="C75">
        <v>23700</v>
      </c>
      <c r="D75">
        <v>26181</v>
      </c>
      <c r="E75">
        <v>22612</v>
      </c>
      <c r="F75">
        <v>25005</v>
      </c>
    </row>
    <row r="76" spans="2:6" x14ac:dyDescent="0.25">
      <c r="B76" t="s">
        <v>109</v>
      </c>
      <c r="C76">
        <v>18866</v>
      </c>
      <c r="D76">
        <v>22900</v>
      </c>
      <c r="E76">
        <v>28092</v>
      </c>
      <c r="F76">
        <v>33208</v>
      </c>
    </row>
    <row r="77" spans="2:6" x14ac:dyDescent="0.25">
      <c r="B77" t="s">
        <v>110</v>
      </c>
      <c r="C77">
        <v>22575</v>
      </c>
      <c r="D77">
        <v>25062</v>
      </c>
      <c r="E77">
        <v>21774</v>
      </c>
      <c r="F77">
        <v>23920</v>
      </c>
    </row>
    <row r="78" spans="2:6" x14ac:dyDescent="0.25">
      <c r="B78" t="s">
        <v>111</v>
      </c>
      <c r="C78">
        <v>15134</v>
      </c>
      <c r="D78">
        <v>15818</v>
      </c>
      <c r="E78">
        <v>22040</v>
      </c>
      <c r="F78">
        <v>20358</v>
      </c>
    </row>
    <row r="79" spans="2:6" x14ac:dyDescent="0.25">
      <c r="B79" t="s">
        <v>112</v>
      </c>
      <c r="C79">
        <v>21803</v>
      </c>
      <c r="D79">
        <v>22915</v>
      </c>
    </row>
    <row r="80" spans="2:6" x14ac:dyDescent="0.25">
      <c r="B80" t="s">
        <v>113</v>
      </c>
      <c r="C80">
        <v>21923</v>
      </c>
      <c r="D80">
        <v>16293</v>
      </c>
      <c r="E80">
        <v>21680</v>
      </c>
      <c r="F80">
        <v>24135</v>
      </c>
    </row>
    <row r="81" spans="2:6" x14ac:dyDescent="0.25">
      <c r="B81" t="s">
        <v>114</v>
      </c>
      <c r="C81">
        <v>27611</v>
      </c>
      <c r="D81">
        <v>28394</v>
      </c>
      <c r="E81">
        <v>21780</v>
      </c>
      <c r="F81">
        <v>22312</v>
      </c>
    </row>
    <row r="82" spans="2:6" x14ac:dyDescent="0.25">
      <c r="B82" t="s">
        <v>115</v>
      </c>
      <c r="C82">
        <v>21124</v>
      </c>
      <c r="D82">
        <v>23900</v>
      </c>
      <c r="E82">
        <v>20790</v>
      </c>
      <c r="F82">
        <v>22726</v>
      </c>
    </row>
    <row r="83" spans="2:6" x14ac:dyDescent="0.25">
      <c r="B83" t="s">
        <v>116</v>
      </c>
      <c r="C83">
        <v>20407</v>
      </c>
      <c r="D83">
        <v>22499</v>
      </c>
      <c r="E83">
        <v>19411</v>
      </c>
      <c r="F83">
        <v>21392</v>
      </c>
    </row>
    <row r="84" spans="2:6" x14ac:dyDescent="0.25">
      <c r="B84" t="s">
        <v>117</v>
      </c>
      <c r="C84">
        <v>20253</v>
      </c>
      <c r="D84">
        <v>22213</v>
      </c>
      <c r="E84">
        <v>19294</v>
      </c>
      <c r="F84">
        <v>21153</v>
      </c>
    </row>
    <row r="85" spans="2:6" x14ac:dyDescent="0.25">
      <c r="B85" t="s">
        <v>118</v>
      </c>
      <c r="C85">
        <v>18380</v>
      </c>
      <c r="D85">
        <v>20950</v>
      </c>
      <c r="E85">
        <v>16585</v>
      </c>
      <c r="F85">
        <v>18464</v>
      </c>
    </row>
    <row r="86" spans="2:6" x14ac:dyDescent="0.25">
      <c r="B86" t="s">
        <v>119</v>
      </c>
      <c r="C86">
        <v>17587</v>
      </c>
      <c r="D86">
        <v>20952</v>
      </c>
      <c r="E86">
        <v>16490</v>
      </c>
      <c r="F86">
        <v>18762</v>
      </c>
    </row>
    <row r="87" spans="2:6" x14ac:dyDescent="0.25">
      <c r="B87" t="s">
        <v>120</v>
      </c>
      <c r="C87">
        <v>19903</v>
      </c>
      <c r="D87">
        <v>21305</v>
      </c>
      <c r="E87">
        <v>18333</v>
      </c>
      <c r="F87">
        <v>20053</v>
      </c>
    </row>
    <row r="88" spans="2:6" x14ac:dyDescent="0.25">
      <c r="B88" t="s">
        <v>121</v>
      </c>
      <c r="C88">
        <v>18691</v>
      </c>
      <c r="D88">
        <v>22063</v>
      </c>
      <c r="E88">
        <v>16997</v>
      </c>
      <c r="F88">
        <v>20244</v>
      </c>
    </row>
    <row r="89" spans="2:6" x14ac:dyDescent="0.25">
      <c r="B89" t="s">
        <v>122</v>
      </c>
      <c r="C89">
        <v>16899</v>
      </c>
      <c r="D89">
        <v>20445</v>
      </c>
      <c r="E89">
        <v>14770</v>
      </c>
      <c r="F89">
        <v>17795</v>
      </c>
    </row>
    <row r="90" spans="2:6" x14ac:dyDescent="0.25">
      <c r="B90" t="s">
        <v>123</v>
      </c>
      <c r="C90">
        <v>16263</v>
      </c>
      <c r="D90">
        <v>19496</v>
      </c>
      <c r="E90">
        <v>16066</v>
      </c>
      <c r="F90">
        <v>17875</v>
      </c>
    </row>
    <row r="91" spans="2:6" x14ac:dyDescent="0.25">
      <c r="B91" t="s">
        <v>124</v>
      </c>
      <c r="C91">
        <v>16652</v>
      </c>
      <c r="D91">
        <v>18555</v>
      </c>
      <c r="E91">
        <v>16410</v>
      </c>
      <c r="F91">
        <v>18347</v>
      </c>
    </row>
    <row r="92" spans="2:6" x14ac:dyDescent="0.25">
      <c r="B92" t="s">
        <v>125</v>
      </c>
      <c r="E92">
        <v>17750</v>
      </c>
      <c r="F92">
        <v>19059</v>
      </c>
    </row>
    <row r="93" spans="2:6" x14ac:dyDescent="0.25">
      <c r="B93" t="s">
        <v>126</v>
      </c>
      <c r="C93">
        <v>15042</v>
      </c>
      <c r="D93">
        <v>16591</v>
      </c>
      <c r="E93">
        <v>17158</v>
      </c>
      <c r="F93">
        <v>18635</v>
      </c>
    </row>
    <row r="94" spans="2:6" x14ac:dyDescent="0.25">
      <c r="B94" t="s">
        <v>127</v>
      </c>
      <c r="C94">
        <v>15573</v>
      </c>
      <c r="E94">
        <v>13981</v>
      </c>
      <c r="F94">
        <v>14526</v>
      </c>
    </row>
    <row r="95" spans="2:6" x14ac:dyDescent="0.25">
      <c r="B95" t="s">
        <v>128</v>
      </c>
      <c r="C95">
        <v>14686</v>
      </c>
      <c r="D95">
        <v>17475</v>
      </c>
      <c r="E95">
        <v>14785</v>
      </c>
      <c r="F95">
        <v>17359</v>
      </c>
    </row>
    <row r="96" spans="2:6" x14ac:dyDescent="0.25">
      <c r="B96" t="s">
        <v>129</v>
      </c>
      <c r="C96">
        <v>17451</v>
      </c>
      <c r="D96">
        <v>19133</v>
      </c>
      <c r="E96">
        <v>16391</v>
      </c>
      <c r="F96">
        <v>17939</v>
      </c>
    </row>
    <row r="97" spans="2:6" x14ac:dyDescent="0.25">
      <c r="B97" t="s">
        <v>130</v>
      </c>
      <c r="C97">
        <v>20111</v>
      </c>
      <c r="D97">
        <v>22512</v>
      </c>
      <c r="E97">
        <v>15968</v>
      </c>
      <c r="F97">
        <v>17668</v>
      </c>
    </row>
    <row r="98" spans="2:6" x14ac:dyDescent="0.25">
      <c r="B98" t="s">
        <v>131</v>
      </c>
      <c r="C98">
        <v>19936</v>
      </c>
      <c r="D98">
        <v>24700</v>
      </c>
      <c r="E98">
        <v>14202</v>
      </c>
      <c r="F98">
        <v>17348</v>
      </c>
    </row>
    <row r="99" spans="2:6" x14ac:dyDescent="0.25">
      <c r="B99" t="s">
        <v>132</v>
      </c>
      <c r="C99">
        <v>18447</v>
      </c>
      <c r="D99">
        <v>20061</v>
      </c>
      <c r="E99">
        <v>16380</v>
      </c>
      <c r="F99">
        <v>17550</v>
      </c>
    </row>
    <row r="100" spans="2:6" x14ac:dyDescent="0.25">
      <c r="B100" t="s">
        <v>133</v>
      </c>
      <c r="C100">
        <v>17937</v>
      </c>
      <c r="D100">
        <v>19444</v>
      </c>
      <c r="E100">
        <v>17765</v>
      </c>
      <c r="F100">
        <v>18716</v>
      </c>
    </row>
    <row r="101" spans="2:6" x14ac:dyDescent="0.25">
      <c r="B101" t="s">
        <v>134</v>
      </c>
      <c r="C101">
        <v>15674</v>
      </c>
      <c r="D101">
        <v>17666</v>
      </c>
      <c r="E101">
        <v>14376</v>
      </c>
      <c r="F101">
        <v>16185</v>
      </c>
    </row>
    <row r="102" spans="2:6" x14ac:dyDescent="0.25">
      <c r="B102" t="s">
        <v>135</v>
      </c>
      <c r="C102">
        <v>14326</v>
      </c>
      <c r="D102">
        <v>16202</v>
      </c>
      <c r="E102">
        <v>16629</v>
      </c>
      <c r="F102">
        <v>1857</v>
      </c>
    </row>
    <row r="103" spans="2:6" x14ac:dyDescent="0.25">
      <c r="B103" t="s">
        <v>136</v>
      </c>
      <c r="C103">
        <v>19552</v>
      </c>
      <c r="D103">
        <v>21107</v>
      </c>
      <c r="E103">
        <v>16717</v>
      </c>
      <c r="F103">
        <v>18171</v>
      </c>
    </row>
    <row r="104" spans="2:6" x14ac:dyDescent="0.25">
      <c r="B104" t="s">
        <v>137</v>
      </c>
      <c r="C104">
        <v>15361</v>
      </c>
      <c r="D104">
        <v>16268</v>
      </c>
      <c r="E104">
        <v>13759</v>
      </c>
      <c r="F104">
        <v>14553</v>
      </c>
    </row>
    <row r="105" spans="2:6" x14ac:dyDescent="0.25">
      <c r="B105" t="s">
        <v>138</v>
      </c>
      <c r="C105">
        <v>14173</v>
      </c>
      <c r="D105">
        <v>15331</v>
      </c>
      <c r="E105">
        <v>14506</v>
      </c>
      <c r="F105">
        <v>15718</v>
      </c>
    </row>
    <row r="106" spans="2:6" x14ac:dyDescent="0.25">
      <c r="B106" t="s">
        <v>139</v>
      </c>
      <c r="C106">
        <v>15682</v>
      </c>
      <c r="D106">
        <v>16302</v>
      </c>
      <c r="E106">
        <v>15181</v>
      </c>
      <c r="F106">
        <v>15617</v>
      </c>
    </row>
    <row r="107" spans="2:6" x14ac:dyDescent="0.25">
      <c r="B107" t="s">
        <v>140</v>
      </c>
      <c r="C107">
        <v>11860</v>
      </c>
    </row>
    <row r="108" spans="2:6" x14ac:dyDescent="0.25">
      <c r="B108" t="s">
        <v>141</v>
      </c>
      <c r="C108">
        <v>15821</v>
      </c>
      <c r="D108">
        <v>17769</v>
      </c>
      <c r="E108">
        <v>14378</v>
      </c>
      <c r="F108">
        <v>16080</v>
      </c>
    </row>
    <row r="109" spans="2:6" x14ac:dyDescent="0.25">
      <c r="B109" t="s">
        <v>142</v>
      </c>
      <c r="C109">
        <v>14854</v>
      </c>
      <c r="D109">
        <v>16166</v>
      </c>
      <c r="E109">
        <v>14085</v>
      </c>
      <c r="F109">
        <v>15325</v>
      </c>
    </row>
    <row r="110" spans="2:6" x14ac:dyDescent="0.25">
      <c r="B110" t="s">
        <v>143</v>
      </c>
      <c r="C110">
        <v>12363</v>
      </c>
      <c r="D110">
        <v>14114</v>
      </c>
      <c r="E110">
        <v>13240</v>
      </c>
      <c r="F110">
        <v>14543</v>
      </c>
    </row>
    <row r="111" spans="2:6" x14ac:dyDescent="0.25">
      <c r="B111" t="s">
        <v>144</v>
      </c>
      <c r="C111">
        <v>12897</v>
      </c>
      <c r="D111">
        <v>14446</v>
      </c>
      <c r="E111">
        <v>13159</v>
      </c>
      <c r="F111">
        <v>14687</v>
      </c>
    </row>
    <row r="112" spans="2:6" x14ac:dyDescent="0.25">
      <c r="B112" t="s">
        <v>145</v>
      </c>
      <c r="C112">
        <v>14306</v>
      </c>
      <c r="D112">
        <v>14100</v>
      </c>
      <c r="E112">
        <v>14772</v>
      </c>
      <c r="F112">
        <v>14283</v>
      </c>
    </row>
    <row r="113" spans="2:6" x14ac:dyDescent="0.25">
      <c r="B113" t="s">
        <v>146</v>
      </c>
      <c r="C113">
        <v>14951</v>
      </c>
      <c r="D113">
        <v>16559</v>
      </c>
      <c r="E113">
        <v>1261</v>
      </c>
      <c r="F113">
        <v>1324</v>
      </c>
    </row>
    <row r="114" spans="2:6" x14ac:dyDescent="0.25">
      <c r="B114" t="s">
        <v>147</v>
      </c>
      <c r="C114">
        <v>10594</v>
      </c>
      <c r="D114">
        <v>13534</v>
      </c>
      <c r="E114">
        <v>11683</v>
      </c>
      <c r="F114">
        <v>14237</v>
      </c>
    </row>
    <row r="115" spans="2:6" x14ac:dyDescent="0.25">
      <c r="B115" t="s">
        <v>148</v>
      </c>
      <c r="C115">
        <v>14472</v>
      </c>
      <c r="D115">
        <v>16293</v>
      </c>
      <c r="E115">
        <v>11583</v>
      </c>
      <c r="F115">
        <v>13072</v>
      </c>
    </row>
    <row r="116" spans="2:6" x14ac:dyDescent="0.25">
      <c r="B116" t="s">
        <v>149</v>
      </c>
      <c r="C116">
        <v>12219</v>
      </c>
      <c r="D116">
        <v>14025</v>
      </c>
      <c r="E116">
        <v>11604</v>
      </c>
      <c r="F116">
        <v>13284</v>
      </c>
    </row>
    <row r="117" spans="2:6" x14ac:dyDescent="0.25">
      <c r="B117" t="s">
        <v>150</v>
      </c>
      <c r="C117">
        <v>12893</v>
      </c>
      <c r="D117">
        <v>14013</v>
      </c>
      <c r="E117">
        <v>11869</v>
      </c>
      <c r="F117">
        <v>12867</v>
      </c>
    </row>
    <row r="118" spans="2:6" x14ac:dyDescent="0.25">
      <c r="B118" t="s">
        <v>151</v>
      </c>
      <c r="C118">
        <v>12127</v>
      </c>
      <c r="D118">
        <v>13021</v>
      </c>
      <c r="E118">
        <v>10203</v>
      </c>
      <c r="F118">
        <v>11026</v>
      </c>
    </row>
    <row r="119" spans="2:6" x14ac:dyDescent="0.25">
      <c r="B119" t="s">
        <v>152</v>
      </c>
      <c r="C119">
        <v>13423</v>
      </c>
      <c r="D119">
        <v>11907</v>
      </c>
      <c r="E119">
        <v>13165</v>
      </c>
    </row>
    <row r="120" spans="2:6" x14ac:dyDescent="0.25">
      <c r="B120" t="s">
        <v>153</v>
      </c>
      <c r="C120">
        <v>13293</v>
      </c>
      <c r="D120">
        <v>14483</v>
      </c>
      <c r="E120">
        <v>11800</v>
      </c>
      <c r="F120">
        <v>12830</v>
      </c>
    </row>
    <row r="121" spans="2:6" x14ac:dyDescent="0.25">
      <c r="B121" t="s">
        <v>154</v>
      </c>
      <c r="C121">
        <v>18040</v>
      </c>
      <c r="D121">
        <v>16003</v>
      </c>
      <c r="E121">
        <v>14417</v>
      </c>
      <c r="F121">
        <v>12660</v>
      </c>
    </row>
    <row r="122" spans="2:6" x14ac:dyDescent="0.25">
      <c r="B122" t="s">
        <v>155</v>
      </c>
      <c r="C122">
        <v>12127</v>
      </c>
      <c r="D122">
        <v>13197</v>
      </c>
      <c r="E122">
        <v>11705</v>
      </c>
      <c r="F122">
        <v>12723</v>
      </c>
    </row>
    <row r="123" spans="2:6" x14ac:dyDescent="0.25">
      <c r="B123" t="s">
        <v>156</v>
      </c>
      <c r="C123">
        <v>9611</v>
      </c>
      <c r="D123">
        <v>10826</v>
      </c>
      <c r="E123">
        <v>10938</v>
      </c>
      <c r="F123">
        <v>12159</v>
      </c>
    </row>
    <row r="124" spans="2:6" x14ac:dyDescent="0.25">
      <c r="B124" t="s">
        <v>157</v>
      </c>
      <c r="C124">
        <v>11860</v>
      </c>
      <c r="D124">
        <v>13281</v>
      </c>
      <c r="E124">
        <v>8993</v>
      </c>
      <c r="F124">
        <v>10440</v>
      </c>
    </row>
    <row r="125" spans="2:6" x14ac:dyDescent="0.25">
      <c r="B125" t="s">
        <v>158</v>
      </c>
      <c r="C125">
        <v>10823</v>
      </c>
      <c r="D125">
        <v>12282</v>
      </c>
      <c r="E125">
        <v>10004</v>
      </c>
      <c r="F125">
        <v>10916</v>
      </c>
    </row>
    <row r="126" spans="2:6" x14ac:dyDescent="0.25">
      <c r="B126" t="s">
        <v>159</v>
      </c>
      <c r="C126">
        <v>10860</v>
      </c>
      <c r="D126">
        <v>11885</v>
      </c>
      <c r="E126">
        <v>10025</v>
      </c>
      <c r="F126">
        <v>10989</v>
      </c>
    </row>
    <row r="127" spans="2:6" x14ac:dyDescent="0.25">
      <c r="B127" t="s">
        <v>160</v>
      </c>
      <c r="C127">
        <v>9115</v>
      </c>
      <c r="D127">
        <v>9872</v>
      </c>
      <c r="E127">
        <v>11049</v>
      </c>
      <c r="F127">
        <v>12106</v>
      </c>
    </row>
    <row r="128" spans="2:6" x14ac:dyDescent="0.25">
      <c r="B128" t="s">
        <v>161</v>
      </c>
      <c r="C128">
        <v>12476</v>
      </c>
      <c r="D128">
        <v>13982</v>
      </c>
      <c r="E128">
        <v>10926</v>
      </c>
      <c r="F128">
        <v>12322</v>
      </c>
    </row>
    <row r="129" spans="2:6" x14ac:dyDescent="0.25">
      <c r="B129" t="s">
        <v>162</v>
      </c>
      <c r="C129">
        <v>12106</v>
      </c>
      <c r="D129">
        <v>13300</v>
      </c>
      <c r="E129">
        <v>9189</v>
      </c>
      <c r="F129">
        <v>10053</v>
      </c>
    </row>
    <row r="130" spans="2:6" x14ac:dyDescent="0.25">
      <c r="B130" t="s">
        <v>163</v>
      </c>
      <c r="C130">
        <v>10203</v>
      </c>
      <c r="D130">
        <v>10887</v>
      </c>
      <c r="E130">
        <v>10230</v>
      </c>
      <c r="F130">
        <v>10882</v>
      </c>
    </row>
    <row r="131" spans="2:6" x14ac:dyDescent="0.25">
      <c r="B131" t="s">
        <v>164</v>
      </c>
      <c r="C131">
        <v>8797</v>
      </c>
      <c r="D131">
        <v>9982</v>
      </c>
      <c r="E131">
        <v>9230</v>
      </c>
      <c r="F131">
        <v>10497</v>
      </c>
    </row>
    <row r="132" spans="2:6" x14ac:dyDescent="0.25">
      <c r="B132" t="s">
        <v>165</v>
      </c>
      <c r="C132">
        <v>9343</v>
      </c>
      <c r="D132">
        <v>10239</v>
      </c>
      <c r="E132">
        <v>9096</v>
      </c>
      <c r="F132">
        <v>9910</v>
      </c>
    </row>
    <row r="133" spans="2:6" x14ac:dyDescent="0.25">
      <c r="B133" t="s">
        <v>166</v>
      </c>
      <c r="C133">
        <v>8162</v>
      </c>
      <c r="D133">
        <v>9042</v>
      </c>
      <c r="E133">
        <v>8696</v>
      </c>
      <c r="F133">
        <v>9634</v>
      </c>
    </row>
    <row r="134" spans="2:6" x14ac:dyDescent="0.25">
      <c r="B134" t="s">
        <v>167</v>
      </c>
      <c r="C134">
        <v>8581</v>
      </c>
      <c r="D134">
        <v>9205</v>
      </c>
      <c r="E134">
        <v>9217</v>
      </c>
      <c r="F134">
        <v>9878</v>
      </c>
    </row>
    <row r="135" spans="2:6" x14ac:dyDescent="0.25">
      <c r="B135" t="s">
        <v>168</v>
      </c>
      <c r="C135">
        <v>8111</v>
      </c>
      <c r="D135">
        <v>8794</v>
      </c>
      <c r="E135">
        <v>8474</v>
      </c>
      <c r="F135">
        <v>9207</v>
      </c>
    </row>
    <row r="136" spans="2:6" x14ac:dyDescent="0.25">
      <c r="B136" t="s">
        <v>169</v>
      </c>
      <c r="C136">
        <v>6576</v>
      </c>
      <c r="D136">
        <v>8171</v>
      </c>
      <c r="E136">
        <v>7719</v>
      </c>
      <c r="F136">
        <v>9019</v>
      </c>
    </row>
    <row r="137" spans="2:6" x14ac:dyDescent="0.25">
      <c r="B137" t="s">
        <v>170</v>
      </c>
      <c r="C137">
        <v>8045</v>
      </c>
      <c r="D137">
        <v>9172</v>
      </c>
      <c r="E137">
        <v>7355</v>
      </c>
      <c r="F137">
        <v>8329</v>
      </c>
    </row>
    <row r="138" spans="2:6" x14ac:dyDescent="0.25">
      <c r="B138" t="s">
        <v>171</v>
      </c>
      <c r="C138">
        <v>6779</v>
      </c>
      <c r="E138">
        <v>6365</v>
      </c>
      <c r="F138">
        <v>6686</v>
      </c>
    </row>
    <row r="139" spans="2:6" x14ac:dyDescent="0.25">
      <c r="B139" t="s">
        <v>172</v>
      </c>
      <c r="C139">
        <v>7367</v>
      </c>
      <c r="D139">
        <v>8355</v>
      </c>
      <c r="E139">
        <v>7075</v>
      </c>
      <c r="F139">
        <v>7951</v>
      </c>
    </row>
    <row r="140" spans="2:6" x14ac:dyDescent="0.25">
      <c r="B140" t="s">
        <v>173</v>
      </c>
      <c r="C140">
        <v>6594</v>
      </c>
      <c r="D140">
        <v>7092</v>
      </c>
      <c r="E140">
        <v>4094</v>
      </c>
      <c r="F140">
        <v>4402</v>
      </c>
    </row>
    <row r="141" spans="2:6" x14ac:dyDescent="0.25">
      <c r="B141" t="s">
        <v>174</v>
      </c>
      <c r="E141">
        <v>6132</v>
      </c>
      <c r="F141">
        <v>7259</v>
      </c>
    </row>
    <row r="142" spans="2:6" x14ac:dyDescent="0.25">
      <c r="B142" t="s">
        <v>175</v>
      </c>
      <c r="C142">
        <v>7414</v>
      </c>
      <c r="D142">
        <v>7929</v>
      </c>
      <c r="E142">
        <v>6511</v>
      </c>
      <c r="F142">
        <v>6923</v>
      </c>
    </row>
    <row r="143" spans="2:6" x14ac:dyDescent="0.25">
      <c r="B143" t="s">
        <v>176</v>
      </c>
      <c r="C143">
        <v>6875</v>
      </c>
      <c r="D143">
        <v>7527</v>
      </c>
      <c r="E143">
        <v>6518</v>
      </c>
      <c r="F143">
        <v>7181</v>
      </c>
    </row>
    <row r="144" spans="2:6" x14ac:dyDescent="0.25">
      <c r="B144" t="s">
        <v>177</v>
      </c>
      <c r="C144">
        <v>5663</v>
      </c>
      <c r="D144">
        <v>6149</v>
      </c>
      <c r="E144">
        <v>5862</v>
      </c>
      <c r="F144">
        <v>6368</v>
      </c>
    </row>
    <row r="145" spans="2:6" x14ac:dyDescent="0.25">
      <c r="B145" t="s">
        <v>178</v>
      </c>
      <c r="C145">
        <v>6286</v>
      </c>
      <c r="D145">
        <v>6894</v>
      </c>
      <c r="E145">
        <v>6247</v>
      </c>
      <c r="F145">
        <v>6832</v>
      </c>
    </row>
    <row r="146" spans="2:6" x14ac:dyDescent="0.25">
      <c r="B146" t="s">
        <v>179</v>
      </c>
      <c r="C146">
        <v>6433</v>
      </c>
      <c r="D146">
        <v>7172</v>
      </c>
      <c r="E146">
        <v>5862</v>
      </c>
      <c r="F146">
        <v>6524</v>
      </c>
    </row>
    <row r="147" spans="2:6" x14ac:dyDescent="0.25">
      <c r="B147" t="s">
        <v>180</v>
      </c>
      <c r="C147">
        <v>6544</v>
      </c>
      <c r="D147">
        <v>7082</v>
      </c>
      <c r="E147">
        <v>6272</v>
      </c>
      <c r="F147">
        <v>6779</v>
      </c>
    </row>
    <row r="148" spans="2:6" x14ac:dyDescent="0.25">
      <c r="B148" t="s">
        <v>181</v>
      </c>
      <c r="C148">
        <v>5555</v>
      </c>
      <c r="D148">
        <v>6109</v>
      </c>
      <c r="E148">
        <v>6013</v>
      </c>
      <c r="F148">
        <v>6685</v>
      </c>
    </row>
    <row r="149" spans="2:6" x14ac:dyDescent="0.25">
      <c r="B149" t="s">
        <v>182</v>
      </c>
      <c r="C149">
        <v>5988</v>
      </c>
      <c r="D149">
        <v>6644</v>
      </c>
      <c r="E149">
        <v>6382</v>
      </c>
      <c r="F149">
        <v>7013</v>
      </c>
    </row>
    <row r="150" spans="2:6" x14ac:dyDescent="0.25">
      <c r="B150" t="s">
        <v>183</v>
      </c>
      <c r="C150">
        <v>5802</v>
      </c>
      <c r="D150">
        <v>6413</v>
      </c>
      <c r="E150">
        <v>5322</v>
      </c>
      <c r="F150">
        <v>5930</v>
      </c>
    </row>
    <row r="151" spans="2:6" x14ac:dyDescent="0.25">
      <c r="B151" t="s">
        <v>184</v>
      </c>
      <c r="C151">
        <v>6107</v>
      </c>
      <c r="D151">
        <v>6090</v>
      </c>
      <c r="E151">
        <v>5845</v>
      </c>
      <c r="F151">
        <v>5839</v>
      </c>
    </row>
    <row r="152" spans="2:6" x14ac:dyDescent="0.25">
      <c r="B152" t="s">
        <v>185</v>
      </c>
      <c r="C152">
        <v>6032</v>
      </c>
      <c r="D152">
        <v>6568</v>
      </c>
      <c r="E152">
        <v>5981</v>
      </c>
      <c r="F152">
        <v>6470</v>
      </c>
    </row>
    <row r="153" spans="2:6" x14ac:dyDescent="0.25">
      <c r="B153" t="s">
        <v>186</v>
      </c>
      <c r="C153">
        <v>5624</v>
      </c>
      <c r="D153">
        <v>6069</v>
      </c>
      <c r="E153">
        <v>5483</v>
      </c>
      <c r="F153">
        <v>5909</v>
      </c>
    </row>
    <row r="154" spans="2:6" x14ac:dyDescent="0.25">
      <c r="B154" t="s">
        <v>187</v>
      </c>
      <c r="C154">
        <v>5360</v>
      </c>
      <c r="D154">
        <v>5902</v>
      </c>
      <c r="E154">
        <v>5572</v>
      </c>
      <c r="F154">
        <v>6144</v>
      </c>
    </row>
    <row r="155" spans="2:6" x14ac:dyDescent="0.25">
      <c r="B155" t="s">
        <v>188</v>
      </c>
      <c r="C155">
        <v>5081</v>
      </c>
      <c r="D155">
        <v>5423</v>
      </c>
      <c r="E155">
        <v>5010</v>
      </c>
      <c r="F155">
        <v>5376</v>
      </c>
    </row>
    <row r="156" spans="2:6" x14ac:dyDescent="0.25">
      <c r="B156" t="s">
        <v>189</v>
      </c>
      <c r="C156">
        <v>4668</v>
      </c>
      <c r="D156">
        <v>5203</v>
      </c>
      <c r="E156">
        <v>5034</v>
      </c>
      <c r="F156">
        <v>5601</v>
      </c>
    </row>
    <row r="157" spans="2:6" x14ac:dyDescent="0.25">
      <c r="B157" t="s">
        <v>190</v>
      </c>
      <c r="C157">
        <v>4075</v>
      </c>
      <c r="D157">
        <v>4614</v>
      </c>
      <c r="E157">
        <v>4356</v>
      </c>
      <c r="F157">
        <v>4943</v>
      </c>
    </row>
    <row r="158" spans="2:6" x14ac:dyDescent="0.25">
      <c r="B158" t="s">
        <v>191</v>
      </c>
      <c r="C158">
        <v>5139</v>
      </c>
      <c r="D158">
        <v>5683</v>
      </c>
      <c r="E158">
        <v>4470</v>
      </c>
      <c r="F158">
        <v>4847</v>
      </c>
    </row>
    <row r="159" spans="2:6" x14ac:dyDescent="0.25">
      <c r="B159" t="s">
        <v>192</v>
      </c>
      <c r="C159">
        <v>6970</v>
      </c>
      <c r="D159">
        <v>5838</v>
      </c>
      <c r="E159">
        <v>5458</v>
      </c>
      <c r="F159">
        <v>5479</v>
      </c>
    </row>
    <row r="160" spans="2:6" x14ac:dyDescent="0.25">
      <c r="B160" t="s">
        <v>193</v>
      </c>
      <c r="C160">
        <v>5703</v>
      </c>
      <c r="D160">
        <v>5994</v>
      </c>
      <c r="E160">
        <v>4435</v>
      </c>
      <c r="F160">
        <v>4704</v>
      </c>
    </row>
    <row r="161" spans="2:6" x14ac:dyDescent="0.25">
      <c r="B161" t="s">
        <v>194</v>
      </c>
      <c r="C161">
        <v>4462</v>
      </c>
      <c r="D161">
        <v>4959</v>
      </c>
      <c r="E161">
        <v>4269</v>
      </c>
      <c r="F161">
        <v>4770</v>
      </c>
    </row>
    <row r="162" spans="2:6" x14ac:dyDescent="0.25">
      <c r="B162" t="s">
        <v>195</v>
      </c>
      <c r="C162">
        <v>4014</v>
      </c>
      <c r="D162">
        <v>4433</v>
      </c>
      <c r="E162">
        <v>3908</v>
      </c>
      <c r="F162">
        <v>4282</v>
      </c>
    </row>
    <row r="163" spans="2:6" x14ac:dyDescent="0.25">
      <c r="B163" t="s">
        <v>196</v>
      </c>
      <c r="C163">
        <v>4472</v>
      </c>
      <c r="D163">
        <v>5123</v>
      </c>
      <c r="E163">
        <v>4091</v>
      </c>
      <c r="F163">
        <v>4415</v>
      </c>
    </row>
    <row r="164" spans="2:6" x14ac:dyDescent="0.25">
      <c r="B164" t="s">
        <v>197</v>
      </c>
      <c r="C164">
        <v>3421</v>
      </c>
      <c r="D164">
        <v>3532</v>
      </c>
      <c r="E164">
        <v>4294</v>
      </c>
      <c r="F164">
        <v>4366</v>
      </c>
    </row>
    <row r="165" spans="2:6" x14ac:dyDescent="0.25">
      <c r="B165" t="s">
        <v>198</v>
      </c>
      <c r="C165">
        <v>4266</v>
      </c>
      <c r="D165">
        <v>4636</v>
      </c>
      <c r="E165">
        <v>3784</v>
      </c>
      <c r="F165">
        <v>4126</v>
      </c>
    </row>
    <row r="166" spans="2:6" x14ac:dyDescent="0.25">
      <c r="B166" t="s">
        <v>199</v>
      </c>
      <c r="C166">
        <v>3575</v>
      </c>
      <c r="D166">
        <v>3958</v>
      </c>
      <c r="E166">
        <v>3653</v>
      </c>
      <c r="F166">
        <v>4024</v>
      </c>
    </row>
    <row r="167" spans="2:6" x14ac:dyDescent="0.25">
      <c r="B167" t="s">
        <v>200</v>
      </c>
      <c r="C167">
        <v>3527</v>
      </c>
      <c r="D167">
        <v>3865</v>
      </c>
      <c r="E167">
        <v>3572</v>
      </c>
      <c r="F167">
        <v>3485</v>
      </c>
    </row>
    <row r="168" spans="2:6" x14ac:dyDescent="0.25">
      <c r="B168" t="s">
        <v>201</v>
      </c>
      <c r="C168">
        <v>3665</v>
      </c>
      <c r="D168">
        <v>3855</v>
      </c>
      <c r="E168">
        <v>3474</v>
      </c>
      <c r="F168">
        <v>3688</v>
      </c>
    </row>
    <row r="169" spans="2:6" x14ac:dyDescent="0.25">
      <c r="B169" t="s">
        <v>202</v>
      </c>
      <c r="C169">
        <v>3427</v>
      </c>
      <c r="D169">
        <v>3688</v>
      </c>
      <c r="E169">
        <v>3177</v>
      </c>
      <c r="F169">
        <v>3358</v>
      </c>
    </row>
    <row r="170" spans="2:6" x14ac:dyDescent="0.25">
      <c r="B170" t="s">
        <v>203</v>
      </c>
      <c r="C170">
        <v>6714</v>
      </c>
      <c r="D170">
        <v>6324</v>
      </c>
      <c r="E170">
        <v>4557</v>
      </c>
      <c r="F170">
        <v>4889</v>
      </c>
    </row>
    <row r="171" spans="2:6" x14ac:dyDescent="0.25">
      <c r="B171" t="s">
        <v>204</v>
      </c>
      <c r="C171">
        <v>3115</v>
      </c>
      <c r="D171">
        <v>3239</v>
      </c>
      <c r="E171">
        <v>3045</v>
      </c>
      <c r="F171">
        <v>3161</v>
      </c>
    </row>
    <row r="172" spans="2:6" x14ac:dyDescent="0.25">
      <c r="B172" t="s">
        <v>205</v>
      </c>
      <c r="C172">
        <v>3090</v>
      </c>
      <c r="D172">
        <v>3291</v>
      </c>
      <c r="E172">
        <v>2743</v>
      </c>
      <c r="F172">
        <v>2890</v>
      </c>
    </row>
    <row r="173" spans="2:6" x14ac:dyDescent="0.25">
      <c r="B173" t="s">
        <v>206</v>
      </c>
      <c r="C173">
        <v>3735</v>
      </c>
      <c r="D173">
        <v>4087</v>
      </c>
      <c r="E173">
        <v>2764</v>
      </c>
      <c r="F173">
        <v>3010</v>
      </c>
    </row>
    <row r="174" spans="2:6" x14ac:dyDescent="0.25">
      <c r="B174" t="s">
        <v>207</v>
      </c>
      <c r="C174">
        <v>3451</v>
      </c>
      <c r="D174">
        <v>3751</v>
      </c>
      <c r="E174">
        <v>3120</v>
      </c>
      <c r="F174">
        <v>3394</v>
      </c>
    </row>
    <row r="175" spans="2:6" x14ac:dyDescent="0.25">
      <c r="B175" t="s">
        <v>208</v>
      </c>
      <c r="C175">
        <v>2628</v>
      </c>
      <c r="D175">
        <v>2889</v>
      </c>
      <c r="E175">
        <v>3083</v>
      </c>
      <c r="F175">
        <v>3435</v>
      </c>
    </row>
    <row r="176" spans="2:6" x14ac:dyDescent="0.25">
      <c r="B176" t="s">
        <v>209</v>
      </c>
      <c r="C176">
        <v>2706</v>
      </c>
      <c r="D176">
        <v>3061</v>
      </c>
      <c r="E176">
        <v>2567</v>
      </c>
      <c r="F176">
        <v>2867</v>
      </c>
    </row>
    <row r="177" spans="2:6" x14ac:dyDescent="0.25">
      <c r="B177" t="s">
        <v>210</v>
      </c>
      <c r="C177">
        <v>2456</v>
      </c>
      <c r="D177">
        <v>2631</v>
      </c>
      <c r="E177">
        <v>2872</v>
      </c>
      <c r="F177">
        <v>3100</v>
      </c>
    </row>
    <row r="178" spans="2:6" x14ac:dyDescent="0.25">
      <c r="B178" t="s">
        <v>211</v>
      </c>
      <c r="C178">
        <v>2688</v>
      </c>
      <c r="D178">
        <v>2921</v>
      </c>
      <c r="E178">
        <v>2776</v>
      </c>
      <c r="F178">
        <v>3027</v>
      </c>
    </row>
    <row r="179" spans="2:6" x14ac:dyDescent="0.25">
      <c r="B179" t="s">
        <v>212</v>
      </c>
      <c r="C179">
        <v>2645</v>
      </c>
      <c r="D179">
        <v>2655</v>
      </c>
      <c r="E179">
        <v>2321</v>
      </c>
      <c r="F179">
        <v>2325</v>
      </c>
    </row>
    <row r="180" spans="2:6" x14ac:dyDescent="0.25">
      <c r="B180" t="s">
        <v>213</v>
      </c>
      <c r="C180">
        <v>2679</v>
      </c>
      <c r="D180">
        <v>2964</v>
      </c>
      <c r="E180">
        <v>2341</v>
      </c>
      <c r="F180">
        <v>2577</v>
      </c>
    </row>
    <row r="181" spans="2:6" x14ac:dyDescent="0.25">
      <c r="B181" t="s">
        <v>214</v>
      </c>
      <c r="C181">
        <v>2468</v>
      </c>
      <c r="D181">
        <v>2621</v>
      </c>
      <c r="E181">
        <v>2413</v>
      </c>
      <c r="F181">
        <v>2574</v>
      </c>
    </row>
    <row r="182" spans="2:6" x14ac:dyDescent="0.25">
      <c r="B182" t="s">
        <v>215</v>
      </c>
      <c r="C182">
        <v>3276</v>
      </c>
      <c r="D182">
        <v>3661</v>
      </c>
      <c r="E182">
        <v>2336</v>
      </c>
      <c r="F182">
        <v>2523</v>
      </c>
    </row>
    <row r="183" spans="2:6" x14ac:dyDescent="0.25">
      <c r="B183" t="s">
        <v>216</v>
      </c>
      <c r="C183">
        <v>2340</v>
      </c>
      <c r="D183">
        <v>2583</v>
      </c>
      <c r="E183">
        <v>2339</v>
      </c>
      <c r="F183">
        <v>2514</v>
      </c>
    </row>
    <row r="184" spans="2:6" x14ac:dyDescent="0.25">
      <c r="B184" t="s">
        <v>217</v>
      </c>
      <c r="C184">
        <v>2291</v>
      </c>
      <c r="D184">
        <v>2510</v>
      </c>
      <c r="E184">
        <v>2427</v>
      </c>
      <c r="F184">
        <v>2634</v>
      </c>
    </row>
    <row r="185" spans="2:6" x14ac:dyDescent="0.25">
      <c r="B185" t="s">
        <v>218</v>
      </c>
      <c r="C185">
        <v>2216</v>
      </c>
      <c r="D185">
        <v>2365</v>
      </c>
      <c r="E185">
        <v>2129</v>
      </c>
      <c r="F185">
        <v>2271</v>
      </c>
    </row>
    <row r="186" spans="2:6" x14ac:dyDescent="0.25">
      <c r="B186" t="s">
        <v>219</v>
      </c>
      <c r="C186">
        <v>2697</v>
      </c>
      <c r="D186">
        <v>2938</v>
      </c>
      <c r="E186">
        <v>2669</v>
      </c>
      <c r="F186">
        <v>2892</v>
      </c>
    </row>
    <row r="187" spans="2:6" x14ac:dyDescent="0.25">
      <c r="B187" t="s">
        <v>220</v>
      </c>
      <c r="C187">
        <v>1624</v>
      </c>
      <c r="D187">
        <v>1760</v>
      </c>
      <c r="E187">
        <v>1843</v>
      </c>
      <c r="F187">
        <v>1986</v>
      </c>
    </row>
    <row r="188" spans="2:6" x14ac:dyDescent="0.25">
      <c r="B188" t="s">
        <v>221</v>
      </c>
      <c r="C188">
        <v>2139</v>
      </c>
    </row>
    <row r="189" spans="2:6" x14ac:dyDescent="0.25">
      <c r="B189" t="s">
        <v>222</v>
      </c>
      <c r="E189">
        <v>1932</v>
      </c>
      <c r="F189">
        <v>2086</v>
      </c>
    </row>
    <row r="190" spans="2:6" x14ac:dyDescent="0.25">
      <c r="B190" t="s">
        <v>223</v>
      </c>
      <c r="E190">
        <v>1900</v>
      </c>
      <c r="F190">
        <v>2021</v>
      </c>
    </row>
    <row r="191" spans="2:6" x14ac:dyDescent="0.25">
      <c r="B191" t="s">
        <v>224</v>
      </c>
      <c r="C191">
        <v>1642</v>
      </c>
      <c r="D191">
        <v>1782</v>
      </c>
      <c r="E191">
        <v>1679</v>
      </c>
      <c r="F191">
        <v>1821</v>
      </c>
    </row>
    <row r="192" spans="2:6" x14ac:dyDescent="0.25">
      <c r="B192" t="s">
        <v>225</v>
      </c>
      <c r="C192">
        <v>1732</v>
      </c>
      <c r="D192">
        <v>1824</v>
      </c>
      <c r="E192">
        <v>1553</v>
      </c>
      <c r="F192">
        <v>1628</v>
      </c>
    </row>
    <row r="193" spans="2:6" x14ac:dyDescent="0.25">
      <c r="B193" t="s">
        <v>226</v>
      </c>
      <c r="C193">
        <v>1557</v>
      </c>
      <c r="D193">
        <v>1711</v>
      </c>
      <c r="E193">
        <v>1543</v>
      </c>
      <c r="F193">
        <v>1690</v>
      </c>
    </row>
    <row r="194" spans="2:6" x14ac:dyDescent="0.25">
      <c r="B194" t="s">
        <v>227</v>
      </c>
      <c r="C194">
        <v>1764</v>
      </c>
      <c r="D194">
        <v>1872</v>
      </c>
      <c r="E194">
        <v>1606</v>
      </c>
      <c r="F194">
        <v>1711</v>
      </c>
    </row>
    <row r="195" spans="2:6" x14ac:dyDescent="0.25">
      <c r="B195" t="s">
        <v>228</v>
      </c>
      <c r="C195">
        <v>1539</v>
      </c>
      <c r="D195">
        <v>1769</v>
      </c>
      <c r="E195">
        <v>1316</v>
      </c>
      <c r="F195">
        <v>1507</v>
      </c>
    </row>
    <row r="196" spans="2:6" x14ac:dyDescent="0.25">
      <c r="B196" t="s">
        <v>229</v>
      </c>
      <c r="C196">
        <v>1441</v>
      </c>
      <c r="D196">
        <v>1566</v>
      </c>
      <c r="E196">
        <v>1354</v>
      </c>
      <c r="F196">
        <v>1468</v>
      </c>
    </row>
    <row r="197" spans="2:6" x14ac:dyDescent="0.25">
      <c r="B197" t="s">
        <v>230</v>
      </c>
      <c r="C197">
        <v>1462</v>
      </c>
      <c r="D197">
        <v>1555</v>
      </c>
      <c r="E197">
        <v>1250</v>
      </c>
      <c r="F197">
        <v>1323</v>
      </c>
    </row>
    <row r="198" spans="2:6" x14ac:dyDescent="0.25">
      <c r="B198" t="s">
        <v>231</v>
      </c>
      <c r="C198">
        <v>1385</v>
      </c>
      <c r="D198">
        <v>1534</v>
      </c>
      <c r="E198">
        <v>1248</v>
      </c>
      <c r="F198">
        <v>1379</v>
      </c>
    </row>
    <row r="199" spans="2:6" x14ac:dyDescent="0.25">
      <c r="B199" t="s">
        <v>232</v>
      </c>
      <c r="C199">
        <v>1057</v>
      </c>
      <c r="D199">
        <v>1112</v>
      </c>
      <c r="E199">
        <v>1025</v>
      </c>
      <c r="F199">
        <v>1080</v>
      </c>
    </row>
    <row r="200" spans="2:6" x14ac:dyDescent="0.25">
      <c r="B200" t="s">
        <v>233</v>
      </c>
      <c r="C200">
        <v>864</v>
      </c>
      <c r="D200">
        <v>917</v>
      </c>
      <c r="E200">
        <v>809</v>
      </c>
      <c r="F200">
        <v>856</v>
      </c>
    </row>
    <row r="201" spans="2:6" x14ac:dyDescent="0.25">
      <c r="B201" t="s">
        <v>234</v>
      </c>
      <c r="E201">
        <v>437</v>
      </c>
      <c r="F201">
        <v>484</v>
      </c>
    </row>
    <row r="202" spans="2:6" x14ac:dyDescent="0.25">
      <c r="B202" t="s">
        <v>235</v>
      </c>
    </row>
    <row r="203" spans="2:6" x14ac:dyDescent="0.25">
      <c r="B203" t="s">
        <v>236</v>
      </c>
    </row>
    <row r="204" spans="2:6" x14ac:dyDescent="0.25">
      <c r="B204" t="s">
        <v>237</v>
      </c>
    </row>
    <row r="205" spans="2:6" x14ac:dyDescent="0.25">
      <c r="C205">
        <f>AVERAGE(Список_стран_и_территорий_по_ВВП__ППС__на_душу_населения__в_долларах__11[Данные ВБ'[1'] 2022])</f>
        <v>25442.917098445596</v>
      </c>
      <c r="D205">
        <f>AVERAGE(Список_стран_и_территорий_по_ВВП__ППС__на_душу_населения__в_долларах__11[Данные ВБ'[1'] 2023])</f>
        <v>27145.195652173912</v>
      </c>
      <c r="E205">
        <f>AVERAGE(Список_стран_и_территорий_по_ВВП__ППС__на_душу_населения__в_долларах__11[Данные МВФ'[2'] 2021])</f>
        <v>23405.948186528498</v>
      </c>
      <c r="F205" s="8">
        <f>AVERAGE(Список_стран_и_территорий_по_ВВП__ППС__на_душу_населения__в_долларах__11[Данные МВФ'[2'] 2022])</f>
        <v>25757.348958333332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3F1CF5C-CA55-40BC-B936-239DBFB75550}">
  <ds:schemaRefs/>
</ds:datastoreItem>
</file>

<file path=customXml/itemProps2.xml><?xml version="1.0" encoding="utf-8"?>
<ds:datastoreItem xmlns:ds="http://schemas.openxmlformats.org/officeDocument/2006/customXml" ds:itemID="{B2CF3F1A-2831-4C2E-8159-E01AE4AD5FE0}">
  <ds:schemaRefs/>
</ds:datastoreItem>
</file>

<file path=customXml/itemProps3.xml><?xml version="1.0" encoding="utf-8"?>
<ds:datastoreItem xmlns:ds="http://schemas.openxmlformats.org/officeDocument/2006/customXml" ds:itemID="{837F1BBA-624C-42DE-BABC-9B0F843B6506}">
  <ds:schemaRefs/>
</ds:datastoreItem>
</file>

<file path=customXml/itemProps4.xml><?xml version="1.0" encoding="utf-8"?>
<ds:datastoreItem xmlns:ds="http://schemas.openxmlformats.org/officeDocument/2006/customXml" ds:itemID="{69FBD225-BE54-4DD9-8D46-2812FF7D09CA}">
  <ds:schemaRefs/>
</ds:datastoreItem>
</file>

<file path=customXml/itemProps5.xml><?xml version="1.0" encoding="utf-8"?>
<ds:datastoreItem xmlns:ds="http://schemas.openxmlformats.org/officeDocument/2006/customXml" ds:itemID="{FCDC5B53-C49E-4956-9A32-C7FA532A7175}">
  <ds:schemaRefs/>
</ds:datastoreItem>
</file>

<file path=customXml/itemProps6.xml><?xml version="1.0" encoding="utf-8"?>
<ds:datastoreItem xmlns:ds="http://schemas.openxmlformats.org/officeDocument/2006/customXml" ds:itemID="{CA62F963-A32B-4B64-A126-D55D5AD3E83F}">
  <ds:schemaRefs/>
</ds:datastoreItem>
</file>

<file path=customXml/itemProps7.xml><?xml version="1.0" encoding="utf-8"?>
<ds:datastoreItem xmlns:ds="http://schemas.openxmlformats.org/officeDocument/2006/customXml" ds:itemID="{10F0F6C9-B060-4C4C-8DD9-BF7433E47455}">
  <ds:schemaRefs/>
</ds:datastoreItem>
</file>

<file path=customXml/itemProps8.xml><?xml version="1.0" encoding="utf-8"?>
<ds:datastoreItem xmlns:ds="http://schemas.openxmlformats.org/officeDocument/2006/customXml" ds:itemID="{D7383E2C-3ADE-4C8F-89E2-548784723E26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70D1CF1F-3705-4935-BE38-2E7D4AC0C226}">
  <ds:schemaRefs/>
</ds:datastoreItem>
</file>

<file path=customXml/itemProps10.xml><?xml version="1.0" encoding="utf-8"?>
<ds:datastoreItem xmlns:ds="http://schemas.openxmlformats.org/officeDocument/2006/customXml" ds:itemID="{8E52A6D1-9735-4056-B751-A02377F3DF88}">
  <ds:schemaRefs/>
</ds:datastoreItem>
</file>

<file path=customXml/itemProps11.xml><?xml version="1.0" encoding="utf-8"?>
<ds:datastoreItem xmlns:ds="http://schemas.openxmlformats.org/officeDocument/2006/customXml" ds:itemID="{16746004-371B-48B2-BABA-6446035BB6F4}">
  <ds:schemaRefs/>
</ds:datastoreItem>
</file>

<file path=customXml/itemProps12.xml><?xml version="1.0" encoding="utf-8"?>
<ds:datastoreItem xmlns:ds="http://schemas.openxmlformats.org/officeDocument/2006/customXml" ds:itemID="{3F95E68E-FAA8-4C22-BAFD-BC755C38797B}">
  <ds:schemaRefs/>
</ds:datastoreItem>
</file>

<file path=customXml/itemProps13.xml><?xml version="1.0" encoding="utf-8"?>
<ds:datastoreItem xmlns:ds="http://schemas.openxmlformats.org/officeDocument/2006/customXml" ds:itemID="{3739EA5D-5C69-44B3-8195-A25527BC7AEC}">
  <ds:schemaRefs/>
</ds:datastoreItem>
</file>

<file path=customXml/itemProps14.xml><?xml version="1.0" encoding="utf-8"?>
<ds:datastoreItem xmlns:ds="http://schemas.openxmlformats.org/officeDocument/2006/customXml" ds:itemID="{6E099D56-25F7-4343-9EAC-6865EC8E12C0}">
  <ds:schemaRefs/>
</ds:datastoreItem>
</file>

<file path=customXml/itemProps15.xml><?xml version="1.0" encoding="utf-8"?>
<ds:datastoreItem xmlns:ds="http://schemas.openxmlformats.org/officeDocument/2006/customXml" ds:itemID="{1E06DBD8-AECA-4B83-BB21-51F6B2010446}">
  <ds:schemaRefs/>
</ds:datastoreItem>
</file>

<file path=customXml/itemProps16.xml><?xml version="1.0" encoding="utf-8"?>
<ds:datastoreItem xmlns:ds="http://schemas.openxmlformats.org/officeDocument/2006/customXml" ds:itemID="{3769EFB3-ECE7-4126-960C-F4109817894F}">
  <ds:schemaRefs/>
</ds:datastoreItem>
</file>

<file path=customXml/itemProps17.xml><?xml version="1.0" encoding="utf-8"?>
<ds:datastoreItem xmlns:ds="http://schemas.openxmlformats.org/officeDocument/2006/customXml" ds:itemID="{5D7D67D3-BB07-44E6-9A12-0B079CA175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Время уроков</vt:lpstr>
      <vt:lpstr>Цвет глаз</vt:lpstr>
      <vt:lpstr>ВВП ППС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Орлова Даша</dc:creator>
  <cp:lastModifiedBy>DA  151.2.1</cp:lastModifiedBy>
  <dcterms:created xsi:type="dcterms:W3CDTF">2021-07-07T10:20:27Z</dcterms:created>
  <dcterms:modified xsi:type="dcterms:W3CDTF">2026-02-06T17:34:47Z</dcterms:modified>
</cp:coreProperties>
</file>