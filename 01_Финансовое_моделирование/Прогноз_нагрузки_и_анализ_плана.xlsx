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gorba\OneDrive\Рабочий стол\Skypro\Портфолио\Бизнес-модуль Эксель. Домашки 1-11\"/>
    </mc:Choice>
  </mc:AlternateContent>
  <xr:revisionPtr revIDLastSave="0" documentId="13_ncr:1_{DF460D15-FD50-4796-8502-0E1B358DEFCF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План по урокам" sheetId="1" r:id="rId1"/>
    <sheet name="Расчет выполнения плана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" roundtripDataChecksum="ldKB3IYS40xAfAOIG/UgaCeJiwlBqzFlvHuQyIlqTDw="/>
    </ext>
  </extLst>
</workbook>
</file>

<file path=xl/calcChain.xml><?xml version="1.0" encoding="utf-8"?>
<calcChain xmlns="http://schemas.openxmlformats.org/spreadsheetml/2006/main">
  <c r="D14" i="3" l="1"/>
  <c r="G2" i="3"/>
  <c r="D4" i="3"/>
  <c r="D5" i="3"/>
  <c r="D6" i="3"/>
  <c r="D7" i="3"/>
  <c r="D8" i="3"/>
  <c r="D9" i="3"/>
  <c r="D10" i="3"/>
  <c r="D11" i="3"/>
  <c r="D12" i="3"/>
  <c r="D13" i="3"/>
  <c r="D3" i="3"/>
  <c r="D2" i="3"/>
  <c r="F2" i="1"/>
  <c r="C16" i="1" s="1"/>
  <c r="D3" i="1"/>
  <c r="D4" i="1"/>
  <c r="D5" i="1"/>
  <c r="D6" i="1"/>
  <c r="D7" i="1"/>
  <c r="D8" i="1"/>
  <c r="D9" i="1"/>
  <c r="D10" i="1"/>
  <c r="D11" i="1"/>
  <c r="D2" i="1"/>
  <c r="C18" i="1" l="1"/>
  <c r="C15" i="1"/>
  <c r="C17" i="1"/>
  <c r="C20" i="1"/>
  <c r="C19" i="1"/>
  <c r="H2" i="3"/>
  <c r="C21" i="1" l="1"/>
</calcChain>
</file>

<file path=xl/sharedStrings.xml><?xml version="1.0" encoding="utf-8"?>
<sst xmlns="http://schemas.openxmlformats.org/spreadsheetml/2006/main" count="16" uniqueCount="13">
  <si>
    <t>Месяц</t>
  </si>
  <si>
    <t>Количество студентов факт</t>
  </si>
  <si>
    <t>Проведено уроков</t>
  </si>
  <si>
    <t>Интенсивность</t>
  </si>
  <si>
    <t>Количество студентов план</t>
  </si>
  <si>
    <t>Выручка план</t>
  </si>
  <si>
    <t>Выручка факт</t>
  </si>
  <si>
    <t>Сред. интенсивность</t>
  </si>
  <si>
    <t>% выполнения плана</t>
  </si>
  <si>
    <t>итог</t>
  </si>
  <si>
    <t>худший месяц</t>
  </si>
  <si>
    <t>Проведено уроков план</t>
  </si>
  <si>
    <t>% выполнения плана худшего месяца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</si>
</sst>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* #,##0.00\ &quot;₽&quot;_-;\-* #,##0.00\ &quot;₽&quot;_-;_-* &quot;-&quot;??\ &quot;₽&quot;_-;_-@"/>
    <numFmt numFmtId="165" formatCode="0.0"/>
  </numFmts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31">
    <xf numFmtId="0" fontId="0" fillId="0" borderId="0" xfId="0"/>
    <xf numFmtId="0" fontId="3" fillId="0" borderId="0" xfId="0" applyFont="1"/>
    <xf numFmtId="14" fontId="4" fillId="0" borderId="0" xfId="0" applyNumberFormat="1" applyFont="1"/>
    <xf numFmtId="0" fontId="5" fillId="0" borderId="0" xfId="0" applyFont="1"/>
    <xf numFmtId="0" fontId="6" fillId="0" borderId="0" xfId="0" applyFont="1"/>
    <xf numFmtId="0" fontId="3" fillId="0" borderId="2" xfId="0" applyFont="1" applyBorder="1"/>
    <xf numFmtId="0" fontId="3" fillId="0" borderId="1" xfId="0" applyFont="1" applyBorder="1"/>
    <xf numFmtId="0" fontId="3" fillId="0" borderId="3" xfId="0" applyFont="1" applyBorder="1"/>
    <xf numFmtId="164" fontId="4" fillId="0" borderId="0" xfId="0" applyNumberFormat="1" applyFont="1"/>
    <xf numFmtId="0" fontId="2" fillId="0" borderId="0" xfId="0" applyFont="1"/>
    <xf numFmtId="0" fontId="7" fillId="0" borderId="5" xfId="0" applyFont="1" applyBorder="1"/>
    <xf numFmtId="164" fontId="4" fillId="0" borderId="7" xfId="0" applyNumberFormat="1" applyFont="1" applyBorder="1"/>
    <xf numFmtId="0" fontId="7" fillId="0" borderId="0" xfId="0" applyFont="1"/>
    <xf numFmtId="0" fontId="7" fillId="0" borderId="6" xfId="0" applyFont="1" applyBorder="1"/>
    <xf numFmtId="0" fontId="1" fillId="0" borderId="0" xfId="0" applyFont="1"/>
    <xf numFmtId="0" fontId="0" fillId="0" borderId="7" xfId="0" applyBorder="1"/>
    <xf numFmtId="0" fontId="7" fillId="0" borderId="4" xfId="0" applyFont="1" applyBorder="1" applyAlignment="1">
      <alignment horizontal="center"/>
    </xf>
    <xf numFmtId="14" fontId="0" fillId="0" borderId="0" xfId="0" applyNumberFormat="1"/>
    <xf numFmtId="165" fontId="0" fillId="0" borderId="4" xfId="0" applyNumberFormat="1" applyBorder="1"/>
    <xf numFmtId="1" fontId="0" fillId="0" borderId="4" xfId="0" applyNumberFormat="1" applyBorder="1"/>
    <xf numFmtId="1" fontId="0" fillId="0" borderId="5" xfId="0" applyNumberFormat="1" applyBorder="1"/>
    <xf numFmtId="0" fontId="7" fillId="0" borderId="4" xfId="0" applyFont="1" applyBorder="1"/>
    <xf numFmtId="2" fontId="0" fillId="0" borderId="5" xfId="0" applyNumberFormat="1" applyBorder="1"/>
    <xf numFmtId="10" fontId="0" fillId="0" borderId="5" xfId="1" applyNumberFormat="1" applyFont="1" applyBorder="1"/>
    <xf numFmtId="10" fontId="0" fillId="0" borderId="0" xfId="1" applyNumberFormat="1" applyFont="1"/>
    <xf numFmtId="10" fontId="0" fillId="0" borderId="8" xfId="0" applyNumberFormat="1" applyBorder="1"/>
    <xf numFmtId="164" fontId="0" fillId="0" borderId="0" xfId="0" applyNumberFormat="1"/>
    <xf numFmtId="10" fontId="0" fillId="0" borderId="4" xfId="0" applyNumberFormat="1" applyBorder="1"/>
    <xf numFmtId="10" fontId="0" fillId="0" borderId="0" xfId="0" applyNumberFormat="1"/>
    <xf numFmtId="2" fontId="0" fillId="0" borderId="4" xfId="0" applyNumberFormat="1" applyBorder="1"/>
    <xf numFmtId="0" fontId="0" fillId="0" borderId="4" xfId="0" applyBorder="1"/>
  </cellXfs>
  <cellStyles count="2">
    <cellStyle name="Обычный" xfId="0" builtinId="0"/>
    <cellStyle name="Процентный" xfId="1" builtinId="5"/>
  </cellStyles>
  <dxfs count="4">
    <dxf>
      <numFmt numFmtId="14" formatCode="0.00%"/>
      <border diagonalUp="0" diagonalDown="0" outline="0">
        <left style="medium">
          <color indexed="64"/>
        </left>
        <right style="medium">
          <color indexed="64"/>
        </right>
      </border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</dxfs>
  <tableStyles count="1">
    <tableStyle name="Задача 3 План-факт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14">
  <tableColumns count="4">
    <tableColumn id="1" xr3:uid="{00000000-0010-0000-0000-000001000000}" name="Месяц"/>
    <tableColumn id="2" xr3:uid="{00000000-0010-0000-0000-000002000000}" name="Выручка план"/>
    <tableColumn id="3" xr3:uid="{00000000-0010-0000-0000-000003000000}" name="Выручка факт"/>
    <tableColumn id="4" xr3:uid="{00000000-0010-0000-0000-000004000000}" name="% выполнения плана" dataDxfId="0">
      <calculatedColumnFormula>Table_1[[#This Row],[Выручка факт]]/Table_1[[#This Row],[Выручка план]]*100%</calculatedColumnFormula>
    </tableColumn>
  </tableColumns>
  <tableStyleInfo name="Задача 3 План-факт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workbookViewId="0">
      <selection activeCell="C15" sqref="C15"/>
    </sheetView>
  </sheetViews>
  <sheetFormatPr defaultColWidth="14.42578125" defaultRowHeight="15" customHeight="1" x14ac:dyDescent="0.25"/>
  <cols>
    <col min="1" max="1" width="12.140625" customWidth="1"/>
    <col min="2" max="2" width="26.7109375" bestFit="1" customWidth="1"/>
    <col min="3" max="3" width="23.42578125" bestFit="1" customWidth="1"/>
    <col min="4" max="4" width="15.5703125" customWidth="1"/>
    <col min="5" max="5" width="8.85546875" customWidth="1"/>
    <col min="6" max="6" width="20.42578125" bestFit="1" customWidth="1"/>
    <col min="7" max="7" width="10.140625" bestFit="1" customWidth="1"/>
    <col min="8" max="11" width="8.85546875" customWidth="1"/>
    <col min="12" max="12" width="10.140625" bestFit="1" customWidth="1"/>
    <col min="13" max="25" width="8.85546875" customWidth="1"/>
  </cols>
  <sheetData>
    <row r="1" spans="1:1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F1" s="10" t="s">
        <v>7</v>
      </c>
      <c r="H1" s="1"/>
    </row>
    <row r="2" spans="1:12" ht="15.75" thickBot="1" x14ac:dyDescent="0.3">
      <c r="A2" s="2">
        <v>43160</v>
      </c>
      <c r="B2" s="3">
        <v>424</v>
      </c>
      <c r="C2" s="3">
        <v>2288</v>
      </c>
      <c r="D2" s="22">
        <f>C2/B2</f>
        <v>5.3962264150943398</v>
      </c>
      <c r="F2" s="18">
        <f>AVERAGE(D2:D11)</f>
        <v>5.1686446344208168</v>
      </c>
      <c r="H2" s="3"/>
      <c r="K2" s="14"/>
    </row>
    <row r="3" spans="1:12" ht="15.75" thickBot="1" x14ac:dyDescent="0.3">
      <c r="A3" s="2">
        <v>43191</v>
      </c>
      <c r="B3" s="3">
        <v>474</v>
      </c>
      <c r="C3" s="3">
        <v>2561</v>
      </c>
      <c r="D3" s="22">
        <f t="shared" ref="D3:D11" si="0">C3/B3</f>
        <v>5.4029535864978904</v>
      </c>
      <c r="H3" s="3"/>
      <c r="K3" s="14"/>
    </row>
    <row r="4" spans="1:12" ht="15.75" thickBot="1" x14ac:dyDescent="0.3">
      <c r="A4" s="2">
        <v>43221</v>
      </c>
      <c r="B4" s="3">
        <v>476</v>
      </c>
      <c r="C4" s="3">
        <v>2425</v>
      </c>
      <c r="D4" s="22">
        <f t="shared" si="0"/>
        <v>5.0945378151260501</v>
      </c>
      <c r="H4" s="3"/>
      <c r="K4" s="14"/>
    </row>
    <row r="5" spans="1:12" ht="15.75" thickBot="1" x14ac:dyDescent="0.3">
      <c r="A5" s="2">
        <v>43252</v>
      </c>
      <c r="B5" s="3">
        <v>530</v>
      </c>
      <c r="C5" s="3">
        <v>2808</v>
      </c>
      <c r="D5" s="22">
        <f t="shared" si="0"/>
        <v>5.2981132075471695</v>
      </c>
      <c r="H5" s="3"/>
    </row>
    <row r="6" spans="1:12" ht="15.75" thickBot="1" x14ac:dyDescent="0.3">
      <c r="A6" s="2">
        <v>43282</v>
      </c>
      <c r="B6" s="3">
        <v>607</v>
      </c>
      <c r="C6" s="3">
        <v>3015</v>
      </c>
      <c r="D6" s="22">
        <f t="shared" si="0"/>
        <v>4.9670510708401974</v>
      </c>
      <c r="H6" s="3"/>
    </row>
    <row r="7" spans="1:12" ht="15.75" thickBot="1" x14ac:dyDescent="0.3">
      <c r="A7" s="2">
        <v>43313</v>
      </c>
      <c r="B7" s="3">
        <v>620</v>
      </c>
      <c r="C7" s="3">
        <v>3035</v>
      </c>
      <c r="D7" s="22">
        <f t="shared" si="0"/>
        <v>4.895161290322581</v>
      </c>
      <c r="L7" s="2"/>
    </row>
    <row r="8" spans="1:12" ht="15.75" thickBot="1" x14ac:dyDescent="0.3">
      <c r="A8" s="2">
        <v>43344</v>
      </c>
      <c r="B8" s="3">
        <v>684</v>
      </c>
      <c r="C8" s="3">
        <v>3424</v>
      </c>
      <c r="D8" s="22">
        <f t="shared" si="0"/>
        <v>5.0058479532163744</v>
      </c>
      <c r="H8" s="4"/>
    </row>
    <row r="9" spans="1:12" ht="15.75" thickBot="1" x14ac:dyDescent="0.3">
      <c r="A9" s="2">
        <v>43374</v>
      </c>
      <c r="B9" s="3">
        <v>797</v>
      </c>
      <c r="C9" s="3">
        <v>4481</v>
      </c>
      <c r="D9" s="22">
        <f t="shared" si="0"/>
        <v>5.6223337515683811</v>
      </c>
    </row>
    <row r="10" spans="1:12" ht="15.75" thickBot="1" x14ac:dyDescent="0.3">
      <c r="A10" s="2">
        <v>43405</v>
      </c>
      <c r="B10" s="3">
        <v>867</v>
      </c>
      <c r="C10" s="3">
        <v>4510</v>
      </c>
      <c r="D10" s="22">
        <f t="shared" si="0"/>
        <v>5.2018454440599768</v>
      </c>
    </row>
    <row r="11" spans="1:12" ht="15.75" thickBot="1" x14ac:dyDescent="0.3">
      <c r="A11" s="2">
        <v>43435</v>
      </c>
      <c r="B11">
        <v>926</v>
      </c>
      <c r="C11">
        <v>4447</v>
      </c>
      <c r="D11" s="29">
        <f t="shared" si="0"/>
        <v>4.8023758099352047</v>
      </c>
    </row>
    <row r="12" spans="1:12" x14ac:dyDescent="0.25">
      <c r="C12" s="14"/>
    </row>
    <row r="14" spans="1:12" ht="15.75" thickBot="1" x14ac:dyDescent="0.3">
      <c r="A14" s="1" t="s">
        <v>0</v>
      </c>
      <c r="B14" s="1" t="s">
        <v>4</v>
      </c>
      <c r="C14" s="12" t="s">
        <v>11</v>
      </c>
      <c r="G14" s="17"/>
    </row>
    <row r="15" spans="1:12" ht="15.75" thickBot="1" x14ac:dyDescent="0.3">
      <c r="A15" s="2">
        <v>43466</v>
      </c>
      <c r="B15" s="3">
        <v>1038</v>
      </c>
      <c r="C15" s="20">
        <f>B15*$F$2</f>
        <v>5365.0531305288077</v>
      </c>
    </row>
    <row r="16" spans="1:12" ht="15.75" thickBot="1" x14ac:dyDescent="0.3">
      <c r="A16" s="2">
        <v>43497</v>
      </c>
      <c r="B16" s="3">
        <v>1044</v>
      </c>
      <c r="C16" s="20">
        <f t="shared" ref="C16:C20" si="1">B16*$F$2</f>
        <v>5396.0649983353323</v>
      </c>
    </row>
    <row r="17" spans="1:3" ht="15.75" thickBot="1" x14ac:dyDescent="0.3">
      <c r="A17" s="2">
        <v>43525</v>
      </c>
      <c r="B17" s="3">
        <v>1118</v>
      </c>
      <c r="C17" s="20">
        <f t="shared" si="1"/>
        <v>5778.5447012824734</v>
      </c>
    </row>
    <row r="18" spans="1:3" ht="15" customHeight="1" thickBot="1" x14ac:dyDescent="0.3">
      <c r="A18" s="2">
        <v>43556</v>
      </c>
      <c r="B18" s="3">
        <v>1221</v>
      </c>
      <c r="C18" s="20">
        <f t="shared" si="1"/>
        <v>6310.9150986278173</v>
      </c>
    </row>
    <row r="19" spans="1:3" ht="15" customHeight="1" thickBot="1" x14ac:dyDescent="0.3">
      <c r="A19" s="2">
        <v>43586</v>
      </c>
      <c r="B19" s="3">
        <v>1265</v>
      </c>
      <c r="C19" s="20">
        <f t="shared" si="1"/>
        <v>6538.3354625423335</v>
      </c>
    </row>
    <row r="20" spans="1:3" ht="15" customHeight="1" thickBot="1" x14ac:dyDescent="0.3">
      <c r="A20" s="17">
        <v>43617</v>
      </c>
      <c r="B20">
        <v>1312</v>
      </c>
      <c r="C20" s="20">
        <f t="shared" si="1"/>
        <v>6781.261760360112</v>
      </c>
    </row>
    <row r="21" spans="1:3" ht="15.75" thickBot="1" x14ac:dyDescent="0.3">
      <c r="A21" s="16" t="s">
        <v>9</v>
      </c>
      <c r="B21" s="15"/>
      <c r="C21" s="19">
        <f>SUM(C15:C20)</f>
        <v>36170.175151676878</v>
      </c>
    </row>
    <row r="22" spans="1:3" ht="15.75" customHeight="1" x14ac:dyDescent="0.25"/>
    <row r="23" spans="1:3" ht="15.75" customHeight="1" x14ac:dyDescent="0.25"/>
    <row r="24" spans="1:3" ht="15.75" customHeight="1" x14ac:dyDescent="0.25"/>
    <row r="25" spans="1:3" ht="15.75" customHeight="1" x14ac:dyDescent="0.25"/>
    <row r="26" spans="1:3" ht="15.75" customHeight="1" x14ac:dyDescent="0.25"/>
    <row r="27" spans="1:3" ht="15.75" customHeight="1" x14ac:dyDescent="0.25"/>
    <row r="28" spans="1:3" ht="15.75" customHeight="1" x14ac:dyDescent="0.25"/>
    <row r="29" spans="1:3" ht="15.75" customHeight="1" x14ac:dyDescent="0.25"/>
    <row r="30" spans="1:3" ht="15.75" customHeight="1" x14ac:dyDescent="0.25"/>
    <row r="31" spans="1:3" ht="15.75" customHeight="1" x14ac:dyDescent="0.25"/>
    <row r="32" spans="1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zoomScaleNormal="100" workbookViewId="0">
      <selection activeCell="F17" sqref="F17"/>
    </sheetView>
  </sheetViews>
  <sheetFormatPr defaultColWidth="14.42578125" defaultRowHeight="15" customHeight="1" x14ac:dyDescent="0.25"/>
  <cols>
    <col min="1" max="1" width="14.140625" bestFit="1" customWidth="1"/>
    <col min="2" max="3" width="16" customWidth="1"/>
    <col min="4" max="4" width="20.5703125" bestFit="1" customWidth="1"/>
    <col min="5" max="6" width="8.85546875" customWidth="1"/>
    <col min="7" max="7" width="14.42578125" bestFit="1" customWidth="1"/>
    <col min="8" max="8" width="40" customWidth="1"/>
    <col min="9" max="26" width="8.85546875" customWidth="1"/>
  </cols>
  <sheetData>
    <row r="1" spans="1:8" ht="15.75" thickBot="1" x14ac:dyDescent="0.3">
      <c r="A1" s="5" t="s">
        <v>0</v>
      </c>
      <c r="B1" s="6" t="s">
        <v>5</v>
      </c>
      <c r="C1" s="7" t="s">
        <v>6</v>
      </c>
      <c r="D1" s="12" t="s">
        <v>8</v>
      </c>
      <c r="G1" s="13" t="s">
        <v>10</v>
      </c>
      <c r="H1" s="21" t="s">
        <v>12</v>
      </c>
    </row>
    <row r="2" spans="1:8" ht="15.75" thickBot="1" x14ac:dyDescent="0.3">
      <c r="A2" s="2">
        <v>42461</v>
      </c>
      <c r="B2" s="8">
        <v>12250000</v>
      </c>
      <c r="C2" s="8">
        <v>12160457</v>
      </c>
      <c r="D2" s="23">
        <f>Table_1[[#This Row],[Выручка факт]]/Table_1[[#This Row],[Выручка план]]*100%</f>
        <v>0.99269036734693883</v>
      </c>
      <c r="G2" s="30" t="str">
        <f>TEXT(A7,"ММММ")</f>
        <v>Сентябрь</v>
      </c>
      <c r="H2" s="25">
        <f>MIN(D2:D13)</f>
        <v>0.82791357142857147</v>
      </c>
    </row>
    <row r="3" spans="1:8" ht="15.75" thickBot="1" x14ac:dyDescent="0.3">
      <c r="A3" s="2">
        <v>42491</v>
      </c>
      <c r="B3" s="8">
        <v>13700000</v>
      </c>
      <c r="C3" s="8">
        <v>12348223</v>
      </c>
      <c r="D3" s="23">
        <f>Table_1[[#This Row],[Выручка факт]]/Table_1[[#This Row],[Выручка план]]*100%</f>
        <v>0.90133014598540151</v>
      </c>
      <c r="G3" s="3"/>
    </row>
    <row r="4" spans="1:8" ht="15.75" thickBot="1" x14ac:dyDescent="0.3">
      <c r="A4" s="2">
        <v>42522</v>
      </c>
      <c r="B4" s="8">
        <v>14100000</v>
      </c>
      <c r="C4" s="8">
        <v>12491902</v>
      </c>
      <c r="D4" s="23">
        <f>Table_1[[#This Row],[Выручка факт]]/Table_1[[#This Row],[Выручка план]]*100%</f>
        <v>0.88595049645390067</v>
      </c>
      <c r="G4" s="3"/>
    </row>
    <row r="5" spans="1:8" ht="15.75" thickBot="1" x14ac:dyDescent="0.3">
      <c r="A5" s="2">
        <v>42552</v>
      </c>
      <c r="B5" s="8">
        <v>14200000</v>
      </c>
      <c r="C5" s="8">
        <v>14113731</v>
      </c>
      <c r="D5" s="23">
        <f>Table_1[[#This Row],[Выручка факт]]/Table_1[[#This Row],[Выручка план]]*100%</f>
        <v>0.99392471830985918</v>
      </c>
      <c r="G5" s="3"/>
    </row>
    <row r="6" spans="1:8" ht="15.75" thickBot="1" x14ac:dyDescent="0.3">
      <c r="A6" s="2">
        <v>42583</v>
      </c>
      <c r="B6" s="8">
        <v>15300000</v>
      </c>
      <c r="C6" s="8">
        <v>13959544</v>
      </c>
      <c r="D6" s="23">
        <f>Table_1[[#This Row],[Выручка факт]]/Table_1[[#This Row],[Выручка план]]*100%</f>
        <v>0.91238849673202616</v>
      </c>
    </row>
    <row r="7" spans="1:8" ht="15.75" thickBot="1" x14ac:dyDescent="0.3">
      <c r="A7" s="2">
        <v>42614</v>
      </c>
      <c r="B7" s="8">
        <v>16800000</v>
      </c>
      <c r="C7" s="8">
        <v>13908948</v>
      </c>
      <c r="D7" s="23">
        <f>Table_1[[#This Row],[Выручка факт]]/Table_1[[#This Row],[Выручка план]]*100%</f>
        <v>0.82791357142857147</v>
      </c>
    </row>
    <row r="8" spans="1:8" ht="15.75" thickBot="1" x14ac:dyDescent="0.3">
      <c r="A8" s="2">
        <v>42644</v>
      </c>
      <c r="B8" s="8">
        <v>18100000</v>
      </c>
      <c r="C8" s="8">
        <v>16117256</v>
      </c>
      <c r="D8" s="23">
        <f>Table_1[[#This Row],[Выручка факт]]/Table_1[[#This Row],[Выручка план]]*100%</f>
        <v>0.8904561325966851</v>
      </c>
    </row>
    <row r="9" spans="1:8" ht="15.75" thickBot="1" x14ac:dyDescent="0.3">
      <c r="A9" s="2">
        <v>42675</v>
      </c>
      <c r="B9" s="8">
        <v>18400000</v>
      </c>
      <c r="C9" s="8">
        <v>16957631</v>
      </c>
      <c r="D9" s="23">
        <f>Table_1[[#This Row],[Выручка факт]]/Table_1[[#This Row],[Выручка план]]*100%</f>
        <v>0.92161038043478261</v>
      </c>
    </row>
    <row r="10" spans="1:8" ht="15.75" thickBot="1" x14ac:dyDescent="0.3">
      <c r="A10" s="2">
        <v>42705</v>
      </c>
      <c r="B10" s="8">
        <v>18700000</v>
      </c>
      <c r="C10" s="8">
        <v>19297518</v>
      </c>
      <c r="D10" s="23">
        <f>Table_1[[#This Row],[Выручка факт]]/Table_1[[#This Row],[Выручка план]]*100%</f>
        <v>1.0319528342245989</v>
      </c>
    </row>
    <row r="11" spans="1:8" ht="15.75" thickBot="1" x14ac:dyDescent="0.3">
      <c r="A11" s="2">
        <v>42736</v>
      </c>
      <c r="B11" s="8">
        <v>19300000</v>
      </c>
      <c r="C11" s="8">
        <v>19871471</v>
      </c>
      <c r="D11" s="23">
        <f>Table_1[[#This Row],[Выручка факт]]/Table_1[[#This Row],[Выручка план]]*100%</f>
        <v>1.0296098963730569</v>
      </c>
    </row>
    <row r="12" spans="1:8" ht="15.75" thickBot="1" x14ac:dyDescent="0.3">
      <c r="A12" s="2">
        <v>42767</v>
      </c>
      <c r="B12" s="8">
        <v>20100000</v>
      </c>
      <c r="C12" s="8">
        <v>18206739</v>
      </c>
      <c r="D12" s="23">
        <f>Table_1[[#This Row],[Выручка факт]]/Table_1[[#This Row],[Выручка план]]*100%</f>
        <v>0.90580791044776121</v>
      </c>
    </row>
    <row r="13" spans="1:8" ht="15.75" thickBot="1" x14ac:dyDescent="0.3">
      <c r="A13" s="2">
        <v>42795</v>
      </c>
      <c r="B13" s="8">
        <v>20300000</v>
      </c>
      <c r="C13" s="8">
        <v>20443345</v>
      </c>
      <c r="D13" s="23">
        <f>Table_1[[#This Row],[Выручка факт]]/Table_1[[#This Row],[Выручка план]]*100%</f>
        <v>1.007061330049261</v>
      </c>
    </row>
    <row r="14" spans="1:8" ht="15.75" thickBot="1" x14ac:dyDescent="0.3">
      <c r="A14" s="13" t="s">
        <v>9</v>
      </c>
      <c r="B14" s="11"/>
      <c r="C14" s="11"/>
      <c r="D14" s="27">
        <f>SUM(C2:C13)/SUM(B2:B13)</f>
        <v>0.94348703105590059</v>
      </c>
    </row>
    <row r="15" spans="1:8" ht="15" customHeight="1" x14ac:dyDescent="0.25">
      <c r="H15" s="28"/>
    </row>
    <row r="17" spans="1:8" ht="15" customHeight="1" x14ac:dyDescent="0.25">
      <c r="A17" s="9"/>
    </row>
    <row r="18" spans="1:8" ht="15" customHeight="1" x14ac:dyDescent="0.25">
      <c r="A18" s="9"/>
      <c r="H18" s="24"/>
    </row>
    <row r="19" spans="1:8" ht="15" customHeight="1" x14ac:dyDescent="0.25">
      <c r="H19" s="26"/>
    </row>
    <row r="20" spans="1:8" ht="15" customHeight="1" x14ac:dyDescent="0.25">
      <c r="H20" s="24"/>
    </row>
    <row r="21" spans="1:8" ht="15.75" customHeight="1" x14ac:dyDescent="0.25"/>
    <row r="22" spans="1:8" ht="15.75" customHeight="1" x14ac:dyDescent="0.25">
      <c r="G22" s="17"/>
    </row>
    <row r="23" spans="1:8" ht="15.75" customHeight="1" x14ac:dyDescent="0.25"/>
    <row r="24" spans="1:8" ht="15.75" customHeight="1" x14ac:dyDescent="0.25"/>
    <row r="25" spans="1:8" ht="15.75" customHeight="1" x14ac:dyDescent="0.25"/>
    <row r="26" spans="1:8" ht="15.75" customHeight="1" x14ac:dyDescent="0.25"/>
    <row r="27" spans="1:8" ht="15.75" customHeight="1" x14ac:dyDescent="0.25"/>
    <row r="28" spans="1:8" ht="15.75" customHeight="1" x14ac:dyDescent="0.25"/>
    <row r="29" spans="1:8" ht="15.75" customHeight="1" x14ac:dyDescent="0.25"/>
    <row r="30" spans="1:8" ht="15.75" customHeight="1" x14ac:dyDescent="0.25"/>
    <row r="31" spans="1:8" ht="15.75" customHeight="1" x14ac:dyDescent="0.25"/>
    <row r="32" spans="1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План по урокам</vt:lpstr>
      <vt:lpstr>Расчет выполнения плана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Sysoev</dc:creator>
  <cp:lastModifiedBy>DA  151.2.1</cp:lastModifiedBy>
  <dcterms:created xsi:type="dcterms:W3CDTF">2021-06-03T14:47:40Z</dcterms:created>
  <dcterms:modified xsi:type="dcterms:W3CDTF">2026-02-06T15:51:30Z</dcterms:modified>
</cp:coreProperties>
</file>