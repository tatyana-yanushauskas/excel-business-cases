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rba\OneDrive\Рабочий стол\Skypro\Портфолио\Бизнес-модуль Эксель. Домашки 1-11\Модуль 1\"/>
    </mc:Choice>
  </mc:AlternateContent>
  <xr:revisionPtr revIDLastSave="0" documentId="13_ncr:1_{C3438E13-5A22-4C65-8030-6064BBEEC3E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Рассчет прогноза выруч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L6ebdZqRk0AUBLXKAAzr4zVdeVORhKAo+TOgyX1pYU=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H6" i="1" s="1"/>
  <c r="E7" i="1"/>
  <c r="E8" i="1"/>
  <c r="E9" i="1"/>
  <c r="E10" i="1"/>
  <c r="H10" i="1" s="1"/>
  <c r="E11" i="1"/>
  <c r="E12" i="1"/>
  <c r="E13" i="1"/>
  <c r="E14" i="1"/>
  <c r="H14" i="1" s="1"/>
  <c r="E15" i="1"/>
  <c r="E16" i="1"/>
  <c r="E17" i="1"/>
  <c r="E18" i="1"/>
  <c r="H18" i="1" s="1"/>
  <c r="E19" i="1"/>
  <c r="E20" i="1"/>
  <c r="E21" i="1"/>
  <c r="E2" i="1"/>
  <c r="H2" i="1" s="1"/>
  <c r="D14" i="1"/>
  <c r="D15" i="1"/>
  <c r="D16" i="1"/>
  <c r="D17" i="1"/>
  <c r="D18" i="1"/>
  <c r="D19" i="1"/>
  <c r="D20" i="1"/>
  <c r="D21" i="1"/>
  <c r="D13" i="1"/>
  <c r="J13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M5" i="1"/>
  <c r="M9" i="1"/>
  <c r="M13" i="1"/>
  <c r="M17" i="1"/>
  <c r="M21" i="1"/>
  <c r="K4" i="1"/>
  <c r="L4" i="1" s="1"/>
  <c r="P4" i="1" s="1"/>
  <c r="K8" i="1"/>
  <c r="L8" i="1" s="1"/>
  <c r="P8" i="1" s="1"/>
  <c r="K12" i="1"/>
  <c r="L12" i="1" s="1"/>
  <c r="P12" i="1" s="1"/>
  <c r="K16" i="1"/>
  <c r="L16" i="1" s="1"/>
  <c r="P16" i="1" s="1"/>
  <c r="K20" i="1"/>
  <c r="L20" i="1" s="1"/>
  <c r="P20" i="1" s="1"/>
  <c r="J3" i="1"/>
  <c r="J4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" i="1"/>
  <c r="H3" i="1"/>
  <c r="I3" i="1" s="1"/>
  <c r="H4" i="1"/>
  <c r="I4" i="1" s="1"/>
  <c r="H5" i="1"/>
  <c r="K5" i="1" s="1"/>
  <c r="H7" i="1"/>
  <c r="I7" i="1" s="1"/>
  <c r="H8" i="1"/>
  <c r="I8" i="1" s="1"/>
  <c r="H9" i="1"/>
  <c r="K9" i="1" s="1"/>
  <c r="H11" i="1"/>
  <c r="I11" i="1" s="1"/>
  <c r="H12" i="1"/>
  <c r="I12" i="1" s="1"/>
  <c r="H13" i="1"/>
  <c r="K13" i="1" s="1"/>
  <c r="H15" i="1"/>
  <c r="I15" i="1" s="1"/>
  <c r="H16" i="1"/>
  <c r="I16" i="1" s="1"/>
  <c r="H17" i="1"/>
  <c r="K17" i="1" s="1"/>
  <c r="H19" i="1"/>
  <c r="I19" i="1" s="1"/>
  <c r="H20" i="1"/>
  <c r="I20" i="1" s="1"/>
  <c r="H21" i="1"/>
  <c r="K21" i="1" s="1"/>
  <c r="F12" i="1"/>
  <c r="G12" i="1" s="1"/>
  <c r="F13" i="1"/>
  <c r="G13" i="1" s="1"/>
  <c r="F14" i="1"/>
  <c r="F15" i="1"/>
  <c r="F16" i="1"/>
  <c r="F17" i="1"/>
  <c r="G17" i="1" s="1"/>
  <c r="F18" i="1"/>
  <c r="F19" i="1"/>
  <c r="F20" i="1"/>
  <c r="F21" i="1"/>
  <c r="G3" i="1"/>
  <c r="G4" i="1"/>
  <c r="G5" i="1"/>
  <c r="G6" i="1"/>
  <c r="G7" i="1"/>
  <c r="G8" i="1"/>
  <c r="G9" i="1"/>
  <c r="G10" i="1"/>
  <c r="G11" i="1"/>
  <c r="G14" i="1"/>
  <c r="G15" i="1"/>
  <c r="G16" i="1"/>
  <c r="G18" i="1"/>
  <c r="G19" i="1"/>
  <c r="G20" i="1"/>
  <c r="G21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L21" i="1" l="1"/>
  <c r="P21" i="1" s="1"/>
  <c r="O21" i="1"/>
  <c r="L5" i="1"/>
  <c r="P5" i="1" s="1"/>
  <c r="O5" i="1"/>
  <c r="M18" i="1"/>
  <c r="K18" i="1"/>
  <c r="I18" i="1"/>
  <c r="M14" i="1"/>
  <c r="K14" i="1"/>
  <c r="I14" i="1"/>
  <c r="M10" i="1"/>
  <c r="K10" i="1"/>
  <c r="I10" i="1"/>
  <c r="M6" i="1"/>
  <c r="I6" i="1"/>
  <c r="K6" i="1"/>
  <c r="L9" i="1"/>
  <c r="P9" i="1" s="1"/>
  <c r="O9" i="1"/>
  <c r="L13" i="1"/>
  <c r="P13" i="1" s="1"/>
  <c r="O13" i="1"/>
  <c r="L17" i="1"/>
  <c r="P17" i="1" s="1"/>
  <c r="O17" i="1"/>
  <c r="I21" i="1"/>
  <c r="I17" i="1"/>
  <c r="I13" i="1"/>
  <c r="I9" i="1"/>
  <c r="I5" i="1"/>
  <c r="K19" i="1"/>
  <c r="K15" i="1"/>
  <c r="K11" i="1"/>
  <c r="K7" i="1"/>
  <c r="K3" i="1"/>
  <c r="L3" i="1" s="1"/>
  <c r="P3" i="1" s="1"/>
  <c r="M20" i="1"/>
  <c r="M16" i="1"/>
  <c r="M12" i="1"/>
  <c r="M8" i="1"/>
  <c r="M4" i="1"/>
  <c r="M19" i="1"/>
  <c r="M15" i="1"/>
  <c r="M11" i="1"/>
  <c r="M7" i="1"/>
  <c r="O16" i="1"/>
  <c r="O12" i="1"/>
  <c r="O8" i="1"/>
  <c r="I2" i="1"/>
  <c r="M3" i="1"/>
  <c r="K2" i="1"/>
  <c r="O19" i="1" l="1"/>
  <c r="L19" i="1"/>
  <c r="P19" i="1" s="1"/>
  <c r="L6" i="1"/>
  <c r="P6" i="1" s="1"/>
  <c r="O6" i="1"/>
  <c r="O10" i="1"/>
  <c r="L10" i="1"/>
  <c r="P10" i="1" s="1"/>
  <c r="O7" i="1"/>
  <c r="L7" i="1"/>
  <c r="P7" i="1" s="1"/>
  <c r="O20" i="1"/>
  <c r="O11" i="1"/>
  <c r="L11" i="1"/>
  <c r="P11" i="1" s="1"/>
  <c r="O18" i="1"/>
  <c r="L18" i="1"/>
  <c r="P18" i="1" s="1"/>
  <c r="O4" i="1"/>
  <c r="O15" i="1"/>
  <c r="L15" i="1"/>
  <c r="P15" i="1" s="1"/>
  <c r="L14" i="1"/>
  <c r="P14" i="1" s="1"/>
  <c r="O14" i="1"/>
  <c r="L2" i="1"/>
  <c r="P2" i="1" s="1"/>
  <c r="O3" i="1"/>
</calcChain>
</file>

<file path=xl/sharedStrings.xml><?xml version="1.0" encoding="utf-8"?>
<sst xmlns="http://schemas.openxmlformats.org/spreadsheetml/2006/main" count="20" uniqueCount="20">
  <si>
    <t>Q</t>
  </si>
  <si>
    <t>P (=AR)</t>
  </si>
  <si>
    <t>TR</t>
  </si>
  <si>
    <t>AVC</t>
  </si>
  <si>
    <t>VC</t>
  </si>
  <si>
    <t>FC</t>
  </si>
  <si>
    <t>AFC</t>
  </si>
  <si>
    <t>TC</t>
  </si>
  <si>
    <t>AC (TC/Q)</t>
  </si>
  <si>
    <t>AC (AFC+AVC)</t>
  </si>
  <si>
    <t>Pr</t>
  </si>
  <si>
    <t>APr</t>
  </si>
  <si>
    <t>delta_TC</t>
  </si>
  <si>
    <t>delta_TR</t>
  </si>
  <si>
    <t>delta_Pr</t>
  </si>
  <si>
    <t>Marg</t>
  </si>
  <si>
    <t>Цена</t>
  </si>
  <si>
    <t>Экономия (1200+)</t>
  </si>
  <si>
    <t>Упаковка</t>
  </si>
  <si>
    <t>Изделие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</si>
</sst>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0" fontId="1" fillId="0" borderId="5" xfId="1" applyNumberFormat="1" applyFont="1" applyBorder="1" applyAlignment="1">
      <alignment horizontal="center" vertical="center"/>
    </xf>
    <xf numFmtId="10" fontId="1" fillId="0" borderId="15" xfId="1" applyNumberFormat="1" applyFont="1" applyBorder="1" applyAlignment="1">
      <alignment horizontal="center" vertical="center"/>
    </xf>
    <xf numFmtId="10" fontId="1" fillId="0" borderId="16" xfId="1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zoomScaleNormal="100" workbookViewId="0">
      <selection activeCell="F27" sqref="F27"/>
    </sheetView>
  </sheetViews>
  <sheetFormatPr defaultColWidth="14.42578125" defaultRowHeight="15" customHeight="1" x14ac:dyDescent="0.25"/>
  <cols>
    <col min="1" max="3" width="9.140625" customWidth="1"/>
    <col min="4" max="4" width="12.42578125" bestFit="1" customWidth="1"/>
    <col min="5" max="5" width="11.42578125" customWidth="1"/>
    <col min="6" max="6" width="10.42578125" customWidth="1"/>
    <col min="7" max="7" width="11.42578125" bestFit="1" customWidth="1"/>
    <col min="8" max="8" width="11.42578125" customWidth="1"/>
    <col min="9" max="9" width="12.140625" customWidth="1"/>
    <col min="10" max="10" width="13.7109375" customWidth="1"/>
    <col min="11" max="15" width="9.140625" customWidth="1"/>
    <col min="16" max="16" width="13" customWidth="1"/>
    <col min="17" max="17" width="8.7109375" customWidth="1"/>
    <col min="18" max="18" width="18.42578125" customWidth="1"/>
    <col min="19" max="19" width="10.28515625" customWidth="1"/>
    <col min="20" max="20" width="16.7109375" customWidth="1"/>
    <col min="21" max="26" width="8.7109375" customWidth="1"/>
  </cols>
  <sheetData>
    <row r="1" spans="1:20" ht="14.25" customHeight="1" thickBot="1" x14ac:dyDescent="0.3">
      <c r="A1" s="6" t="s">
        <v>0</v>
      </c>
      <c r="B1" s="18" t="s">
        <v>1</v>
      </c>
      <c r="C1" s="9" t="s">
        <v>2</v>
      </c>
      <c r="D1" s="18" t="s">
        <v>3</v>
      </c>
      <c r="E1" s="9" t="s">
        <v>4</v>
      </c>
      <c r="F1" s="10" t="s">
        <v>5</v>
      </c>
      <c r="G1" s="9" t="s">
        <v>6</v>
      </c>
      <c r="H1" s="18" t="s">
        <v>7</v>
      </c>
      <c r="I1" s="10" t="s">
        <v>8</v>
      </c>
      <c r="J1" s="9" t="s">
        <v>9</v>
      </c>
      <c r="K1" s="10" t="s">
        <v>10</v>
      </c>
      <c r="L1" s="9" t="s">
        <v>11</v>
      </c>
      <c r="M1" s="18" t="s">
        <v>12</v>
      </c>
      <c r="N1" s="10" t="s">
        <v>13</v>
      </c>
      <c r="O1" s="10" t="s">
        <v>14</v>
      </c>
      <c r="P1" s="22" t="s">
        <v>15</v>
      </c>
      <c r="R1" s="1"/>
      <c r="S1" s="2" t="s">
        <v>16</v>
      </c>
      <c r="T1" s="2" t="s">
        <v>17</v>
      </c>
    </row>
    <row r="2" spans="1:20" ht="14.25" customHeight="1" x14ac:dyDescent="0.25">
      <c r="A2" s="19">
        <v>100</v>
      </c>
      <c r="B2" s="11">
        <v>300</v>
      </c>
      <c r="C2" s="17">
        <f>A2*B2</f>
        <v>30000</v>
      </c>
      <c r="D2" s="11">
        <v>190</v>
      </c>
      <c r="E2" s="12">
        <f>A2*D2</f>
        <v>19000</v>
      </c>
      <c r="F2" s="17">
        <v>15000</v>
      </c>
      <c r="G2" s="17">
        <f>F2/A2</f>
        <v>150</v>
      </c>
      <c r="H2" s="11">
        <f>F2+E2</f>
        <v>34000</v>
      </c>
      <c r="I2" s="17">
        <f>H2/A2</f>
        <v>340</v>
      </c>
      <c r="J2" s="17">
        <f>G2+D2</f>
        <v>340</v>
      </c>
      <c r="K2" s="11">
        <f>C2-H2</f>
        <v>-4000</v>
      </c>
      <c r="L2" s="12">
        <f>K2/A2</f>
        <v>-40</v>
      </c>
      <c r="M2" s="11"/>
      <c r="N2" s="26"/>
      <c r="O2" s="27"/>
      <c r="P2" s="23">
        <f>L2/B2</f>
        <v>-0.13333333333333333</v>
      </c>
      <c r="R2" s="3" t="s">
        <v>19</v>
      </c>
      <c r="S2" s="4">
        <v>150</v>
      </c>
      <c r="T2" s="4">
        <v>20</v>
      </c>
    </row>
    <row r="3" spans="1:20" ht="14.25" customHeight="1" x14ac:dyDescent="0.25">
      <c r="A3" s="19">
        <v>200</v>
      </c>
      <c r="B3" s="13">
        <v>300</v>
      </c>
      <c r="C3" s="7">
        <f t="shared" ref="C3:C21" si="0">A3*B3</f>
        <v>60000</v>
      </c>
      <c r="D3" s="13">
        <v>190</v>
      </c>
      <c r="E3" s="14">
        <f t="shared" ref="E3:E21" si="1">A3*D3</f>
        <v>38000</v>
      </c>
      <c r="F3" s="7">
        <v>15000</v>
      </c>
      <c r="G3" s="7">
        <f t="shared" ref="G3:G21" si="2">F3/A3</f>
        <v>75</v>
      </c>
      <c r="H3" s="13">
        <f t="shared" ref="H3:H21" si="3">F3+E3</f>
        <v>53000</v>
      </c>
      <c r="I3" s="7">
        <f t="shared" ref="I3:I21" si="4">H3/A3</f>
        <v>265</v>
      </c>
      <c r="J3" s="7">
        <f t="shared" ref="J3:J21" si="5">G3+D3</f>
        <v>265</v>
      </c>
      <c r="K3" s="13">
        <f t="shared" ref="K3:K21" si="6">C3-H3</f>
        <v>7000</v>
      </c>
      <c r="L3" s="14">
        <f t="shared" ref="L3:L21" si="7">K3/A3</f>
        <v>35</v>
      </c>
      <c r="M3" s="13">
        <f>H3-H2</f>
        <v>19000</v>
      </c>
      <c r="N3" s="7">
        <f>C3-C2</f>
        <v>30000</v>
      </c>
      <c r="O3" s="14">
        <f>K3-K2</f>
        <v>11000</v>
      </c>
      <c r="P3" s="24">
        <f t="shared" ref="P3:P21" si="8">L3/B3</f>
        <v>0.11666666666666667</v>
      </c>
      <c r="R3" s="3" t="s">
        <v>18</v>
      </c>
      <c r="S3" s="4">
        <v>40</v>
      </c>
      <c r="T3" s="4">
        <v>30</v>
      </c>
    </row>
    <row r="4" spans="1:20" ht="14.25" customHeight="1" x14ac:dyDescent="0.25">
      <c r="A4" s="19">
        <v>300</v>
      </c>
      <c r="B4" s="13">
        <v>300</v>
      </c>
      <c r="C4" s="7">
        <f t="shared" si="0"/>
        <v>90000</v>
      </c>
      <c r="D4" s="13">
        <v>190</v>
      </c>
      <c r="E4" s="14">
        <f t="shared" si="1"/>
        <v>57000</v>
      </c>
      <c r="F4" s="7">
        <v>15000</v>
      </c>
      <c r="G4" s="7">
        <f t="shared" si="2"/>
        <v>50</v>
      </c>
      <c r="H4" s="13">
        <f t="shared" si="3"/>
        <v>72000</v>
      </c>
      <c r="I4" s="7">
        <f t="shared" si="4"/>
        <v>240</v>
      </c>
      <c r="J4" s="7">
        <f t="shared" si="5"/>
        <v>240</v>
      </c>
      <c r="K4" s="13">
        <f t="shared" si="6"/>
        <v>18000</v>
      </c>
      <c r="L4" s="14">
        <f t="shared" si="7"/>
        <v>60</v>
      </c>
      <c r="M4" s="13">
        <f t="shared" ref="M4:M21" si="9">H4-H3</f>
        <v>19000</v>
      </c>
      <c r="N4" s="7">
        <f t="shared" ref="N4:N21" si="10">C4-C3</f>
        <v>30000</v>
      </c>
      <c r="O4" s="14">
        <f t="shared" ref="O4:O21" si="11">K4-K3</f>
        <v>11000</v>
      </c>
      <c r="P4" s="24">
        <f t="shared" si="8"/>
        <v>0.2</v>
      </c>
      <c r="R4" s="5"/>
      <c r="S4" s="5"/>
      <c r="T4" s="5"/>
    </row>
    <row r="5" spans="1:20" ht="14.25" customHeight="1" x14ac:dyDescent="0.25">
      <c r="A5" s="19">
        <v>400</v>
      </c>
      <c r="B5" s="13">
        <v>300</v>
      </c>
      <c r="C5" s="7">
        <f t="shared" si="0"/>
        <v>120000</v>
      </c>
      <c r="D5" s="13">
        <v>190</v>
      </c>
      <c r="E5" s="14">
        <f t="shared" si="1"/>
        <v>76000</v>
      </c>
      <c r="F5" s="7">
        <v>15000</v>
      </c>
      <c r="G5" s="7">
        <f t="shared" si="2"/>
        <v>37.5</v>
      </c>
      <c r="H5" s="13">
        <f t="shared" si="3"/>
        <v>91000</v>
      </c>
      <c r="I5" s="7">
        <f t="shared" si="4"/>
        <v>227.5</v>
      </c>
      <c r="J5" s="7">
        <f t="shared" si="5"/>
        <v>227.5</v>
      </c>
      <c r="K5" s="13">
        <f t="shared" si="6"/>
        <v>29000</v>
      </c>
      <c r="L5" s="14">
        <f t="shared" si="7"/>
        <v>72.5</v>
      </c>
      <c r="M5" s="13">
        <f t="shared" si="9"/>
        <v>19000</v>
      </c>
      <c r="N5" s="7">
        <f t="shared" si="10"/>
        <v>30000</v>
      </c>
      <c r="O5" s="14">
        <f t="shared" si="11"/>
        <v>11000</v>
      </c>
      <c r="P5" s="24">
        <f t="shared" si="8"/>
        <v>0.24166666666666667</v>
      </c>
      <c r="R5" s="5"/>
      <c r="S5" s="5"/>
      <c r="T5" s="5"/>
    </row>
    <row r="6" spans="1:20" ht="14.25" customHeight="1" x14ac:dyDescent="0.25">
      <c r="A6" s="19">
        <v>500</v>
      </c>
      <c r="B6" s="13">
        <v>300</v>
      </c>
      <c r="C6" s="7">
        <f t="shared" si="0"/>
        <v>150000</v>
      </c>
      <c r="D6" s="13">
        <v>190</v>
      </c>
      <c r="E6" s="14">
        <f t="shared" si="1"/>
        <v>95000</v>
      </c>
      <c r="F6" s="7">
        <v>15000</v>
      </c>
      <c r="G6" s="7">
        <f t="shared" si="2"/>
        <v>30</v>
      </c>
      <c r="H6" s="13">
        <f t="shared" si="3"/>
        <v>110000</v>
      </c>
      <c r="I6" s="7">
        <f t="shared" si="4"/>
        <v>220</v>
      </c>
      <c r="J6" s="7">
        <f t="shared" si="5"/>
        <v>220</v>
      </c>
      <c r="K6" s="13">
        <f t="shared" si="6"/>
        <v>40000</v>
      </c>
      <c r="L6" s="14">
        <f t="shared" si="7"/>
        <v>80</v>
      </c>
      <c r="M6" s="13">
        <f t="shared" si="9"/>
        <v>19000</v>
      </c>
      <c r="N6" s="7">
        <f t="shared" si="10"/>
        <v>30000</v>
      </c>
      <c r="O6" s="14">
        <f t="shared" si="11"/>
        <v>11000</v>
      </c>
      <c r="P6" s="24">
        <f t="shared" si="8"/>
        <v>0.26666666666666666</v>
      </c>
      <c r="R6" s="5"/>
      <c r="S6" s="5"/>
      <c r="T6" s="5"/>
    </row>
    <row r="7" spans="1:20" ht="14.25" customHeight="1" x14ac:dyDescent="0.25">
      <c r="A7" s="19">
        <v>600</v>
      </c>
      <c r="B7" s="13">
        <v>300</v>
      </c>
      <c r="C7" s="7">
        <f t="shared" si="0"/>
        <v>180000</v>
      </c>
      <c r="D7" s="13">
        <v>190</v>
      </c>
      <c r="E7" s="14">
        <f t="shared" si="1"/>
        <v>114000</v>
      </c>
      <c r="F7" s="7">
        <v>15000</v>
      </c>
      <c r="G7" s="7">
        <f t="shared" si="2"/>
        <v>25</v>
      </c>
      <c r="H7" s="13">
        <f t="shared" si="3"/>
        <v>129000</v>
      </c>
      <c r="I7" s="7">
        <f t="shared" si="4"/>
        <v>215</v>
      </c>
      <c r="J7" s="7">
        <f t="shared" si="5"/>
        <v>215</v>
      </c>
      <c r="K7" s="13">
        <f t="shared" si="6"/>
        <v>51000</v>
      </c>
      <c r="L7" s="14">
        <f t="shared" si="7"/>
        <v>85</v>
      </c>
      <c r="M7" s="13">
        <f t="shared" si="9"/>
        <v>19000</v>
      </c>
      <c r="N7" s="7">
        <f t="shared" si="10"/>
        <v>30000</v>
      </c>
      <c r="O7" s="14">
        <f t="shared" si="11"/>
        <v>11000</v>
      </c>
      <c r="P7" s="24">
        <f t="shared" si="8"/>
        <v>0.28333333333333333</v>
      </c>
      <c r="R7" s="5"/>
      <c r="S7" s="5"/>
      <c r="T7" s="5"/>
    </row>
    <row r="8" spans="1:20" ht="14.25" customHeight="1" x14ac:dyDescent="0.25">
      <c r="A8" s="19">
        <v>700</v>
      </c>
      <c r="B8" s="13">
        <v>300</v>
      </c>
      <c r="C8" s="7">
        <f t="shared" si="0"/>
        <v>210000</v>
      </c>
      <c r="D8" s="13">
        <v>190</v>
      </c>
      <c r="E8" s="14">
        <f t="shared" si="1"/>
        <v>133000</v>
      </c>
      <c r="F8" s="7">
        <v>15000</v>
      </c>
      <c r="G8" s="7">
        <f t="shared" si="2"/>
        <v>21.428571428571427</v>
      </c>
      <c r="H8" s="13">
        <f t="shared" si="3"/>
        <v>148000</v>
      </c>
      <c r="I8" s="7">
        <f t="shared" si="4"/>
        <v>211.42857142857142</v>
      </c>
      <c r="J8" s="7">
        <f t="shared" si="5"/>
        <v>211.42857142857142</v>
      </c>
      <c r="K8" s="13">
        <f t="shared" si="6"/>
        <v>62000</v>
      </c>
      <c r="L8" s="14">
        <f t="shared" si="7"/>
        <v>88.571428571428569</v>
      </c>
      <c r="M8" s="13">
        <f t="shared" si="9"/>
        <v>19000</v>
      </c>
      <c r="N8" s="7">
        <f t="shared" si="10"/>
        <v>30000</v>
      </c>
      <c r="O8" s="14">
        <f t="shared" si="11"/>
        <v>11000</v>
      </c>
      <c r="P8" s="24">
        <f t="shared" si="8"/>
        <v>0.29523809523809524</v>
      </c>
      <c r="R8" s="5"/>
      <c r="S8" s="5"/>
      <c r="T8" s="5"/>
    </row>
    <row r="9" spans="1:20" ht="14.25" customHeight="1" x14ac:dyDescent="0.25">
      <c r="A9" s="19">
        <v>800</v>
      </c>
      <c r="B9" s="13">
        <v>300</v>
      </c>
      <c r="C9" s="7">
        <f t="shared" si="0"/>
        <v>240000</v>
      </c>
      <c r="D9" s="13">
        <v>190</v>
      </c>
      <c r="E9" s="14">
        <f t="shared" si="1"/>
        <v>152000</v>
      </c>
      <c r="F9" s="7">
        <v>15000</v>
      </c>
      <c r="G9" s="7">
        <f t="shared" si="2"/>
        <v>18.75</v>
      </c>
      <c r="H9" s="13">
        <f t="shared" si="3"/>
        <v>167000</v>
      </c>
      <c r="I9" s="7">
        <f t="shared" si="4"/>
        <v>208.75</v>
      </c>
      <c r="J9" s="7">
        <f t="shared" si="5"/>
        <v>208.75</v>
      </c>
      <c r="K9" s="13">
        <f t="shared" si="6"/>
        <v>73000</v>
      </c>
      <c r="L9" s="14">
        <f t="shared" si="7"/>
        <v>91.25</v>
      </c>
      <c r="M9" s="13">
        <f t="shared" si="9"/>
        <v>19000</v>
      </c>
      <c r="N9" s="7">
        <f t="shared" si="10"/>
        <v>30000</v>
      </c>
      <c r="O9" s="14">
        <f t="shared" si="11"/>
        <v>11000</v>
      </c>
      <c r="P9" s="24">
        <f t="shared" si="8"/>
        <v>0.30416666666666664</v>
      </c>
      <c r="R9" s="5"/>
      <c r="S9" s="5"/>
      <c r="T9" s="5"/>
    </row>
    <row r="10" spans="1:20" ht="14.25" customHeight="1" x14ac:dyDescent="0.25">
      <c r="A10" s="19">
        <v>900</v>
      </c>
      <c r="B10" s="13">
        <v>300</v>
      </c>
      <c r="C10" s="7">
        <f t="shared" si="0"/>
        <v>270000</v>
      </c>
      <c r="D10" s="13">
        <v>190</v>
      </c>
      <c r="E10" s="14">
        <f t="shared" si="1"/>
        <v>171000</v>
      </c>
      <c r="F10" s="7">
        <v>15000</v>
      </c>
      <c r="G10" s="7">
        <f t="shared" si="2"/>
        <v>16.666666666666668</v>
      </c>
      <c r="H10" s="13">
        <f t="shared" si="3"/>
        <v>186000</v>
      </c>
      <c r="I10" s="7">
        <f t="shared" si="4"/>
        <v>206.66666666666666</v>
      </c>
      <c r="J10" s="7">
        <f t="shared" si="5"/>
        <v>206.66666666666666</v>
      </c>
      <c r="K10" s="13">
        <f t="shared" si="6"/>
        <v>84000</v>
      </c>
      <c r="L10" s="14">
        <f t="shared" si="7"/>
        <v>93.333333333333329</v>
      </c>
      <c r="M10" s="13">
        <f t="shared" si="9"/>
        <v>19000</v>
      </c>
      <c r="N10" s="7">
        <f t="shared" si="10"/>
        <v>30000</v>
      </c>
      <c r="O10" s="14">
        <f t="shared" si="11"/>
        <v>11000</v>
      </c>
      <c r="P10" s="24">
        <f t="shared" si="8"/>
        <v>0.31111111111111112</v>
      </c>
      <c r="R10" s="5"/>
      <c r="S10" s="5"/>
      <c r="T10" s="5"/>
    </row>
    <row r="11" spans="1:20" ht="14.25" customHeight="1" thickBot="1" x14ac:dyDescent="0.3">
      <c r="A11" s="19">
        <v>1000</v>
      </c>
      <c r="B11" s="13">
        <v>300</v>
      </c>
      <c r="C11" s="7">
        <f t="shared" si="0"/>
        <v>300000</v>
      </c>
      <c r="D11" s="13">
        <v>190</v>
      </c>
      <c r="E11" s="14">
        <f t="shared" si="1"/>
        <v>190000</v>
      </c>
      <c r="F11" s="7">
        <v>15000</v>
      </c>
      <c r="G11" s="7">
        <f t="shared" si="2"/>
        <v>15</v>
      </c>
      <c r="H11" s="13">
        <f t="shared" si="3"/>
        <v>205000</v>
      </c>
      <c r="I11" s="7">
        <f t="shared" si="4"/>
        <v>205</v>
      </c>
      <c r="J11" s="7">
        <f t="shared" si="5"/>
        <v>205</v>
      </c>
      <c r="K11" s="13">
        <f t="shared" si="6"/>
        <v>95000</v>
      </c>
      <c r="L11" s="14">
        <f t="shared" si="7"/>
        <v>95</v>
      </c>
      <c r="M11" s="13">
        <f t="shared" si="9"/>
        <v>19000</v>
      </c>
      <c r="N11" s="7">
        <f t="shared" si="10"/>
        <v>30000</v>
      </c>
      <c r="O11" s="14">
        <f t="shared" si="11"/>
        <v>11000</v>
      </c>
      <c r="P11" s="24">
        <f t="shared" si="8"/>
        <v>0.31666666666666665</v>
      </c>
      <c r="R11" s="5"/>
      <c r="S11" s="5"/>
      <c r="T11" s="5"/>
    </row>
    <row r="12" spans="1:20" ht="14.25" customHeight="1" x14ac:dyDescent="0.25">
      <c r="A12" s="28">
        <v>1100</v>
      </c>
      <c r="B12" s="11">
        <v>300</v>
      </c>
      <c r="C12" s="17">
        <f t="shared" si="0"/>
        <v>330000</v>
      </c>
      <c r="D12" s="11">
        <v>190</v>
      </c>
      <c r="E12" s="12">
        <f t="shared" si="1"/>
        <v>209000</v>
      </c>
      <c r="F12" s="17">
        <f>F2*2</f>
        <v>30000</v>
      </c>
      <c r="G12" s="17">
        <f t="shared" si="2"/>
        <v>27.272727272727273</v>
      </c>
      <c r="H12" s="11">
        <f t="shared" si="3"/>
        <v>239000</v>
      </c>
      <c r="I12" s="17">
        <f t="shared" si="4"/>
        <v>217.27272727272728</v>
      </c>
      <c r="J12" s="17">
        <f t="shared" si="5"/>
        <v>217.27272727272728</v>
      </c>
      <c r="K12" s="11">
        <f t="shared" si="6"/>
        <v>91000</v>
      </c>
      <c r="L12" s="12">
        <f t="shared" si="7"/>
        <v>82.727272727272734</v>
      </c>
      <c r="M12" s="11">
        <f t="shared" si="9"/>
        <v>34000</v>
      </c>
      <c r="N12" s="17">
        <f t="shared" si="10"/>
        <v>30000</v>
      </c>
      <c r="O12" s="12">
        <f t="shared" si="11"/>
        <v>-4000</v>
      </c>
      <c r="P12" s="23">
        <f t="shared" si="8"/>
        <v>0.27575757575757576</v>
      </c>
      <c r="R12" s="5"/>
      <c r="S12" s="5"/>
      <c r="T12" s="5"/>
    </row>
    <row r="13" spans="1:20" ht="14.25" customHeight="1" x14ac:dyDescent="0.25">
      <c r="A13" s="20">
        <v>1200</v>
      </c>
      <c r="B13" s="13">
        <v>300</v>
      </c>
      <c r="C13" s="7">
        <f t="shared" si="0"/>
        <v>360000</v>
      </c>
      <c r="D13" s="13">
        <f>$S$2-$T$2+$S$3-$T$3</f>
        <v>140</v>
      </c>
      <c r="E13" s="14">
        <f t="shared" si="1"/>
        <v>168000</v>
      </c>
      <c r="F13" s="7">
        <f t="shared" ref="F13:F21" si="12">F3*2</f>
        <v>30000</v>
      </c>
      <c r="G13" s="7">
        <f t="shared" si="2"/>
        <v>25</v>
      </c>
      <c r="H13" s="13">
        <f t="shared" si="3"/>
        <v>198000</v>
      </c>
      <c r="I13" s="7">
        <f t="shared" si="4"/>
        <v>165</v>
      </c>
      <c r="J13" s="7">
        <f t="shared" si="5"/>
        <v>165</v>
      </c>
      <c r="K13" s="13">
        <f t="shared" si="6"/>
        <v>162000</v>
      </c>
      <c r="L13" s="14">
        <f t="shared" si="7"/>
        <v>135</v>
      </c>
      <c r="M13" s="13">
        <f t="shared" si="9"/>
        <v>-41000</v>
      </c>
      <c r="N13" s="7">
        <f t="shared" si="10"/>
        <v>30000</v>
      </c>
      <c r="O13" s="14">
        <f t="shared" si="11"/>
        <v>71000</v>
      </c>
      <c r="P13" s="24">
        <f t="shared" si="8"/>
        <v>0.45</v>
      </c>
      <c r="R13" s="5"/>
      <c r="S13" s="5"/>
      <c r="T13" s="5"/>
    </row>
    <row r="14" spans="1:20" ht="14.25" customHeight="1" x14ac:dyDescent="0.25">
      <c r="A14" s="20">
        <v>1300</v>
      </c>
      <c r="B14" s="13">
        <v>300</v>
      </c>
      <c r="C14" s="7">
        <f t="shared" si="0"/>
        <v>390000</v>
      </c>
      <c r="D14" s="13">
        <f t="shared" ref="D14:D21" si="13">$S$2-$T$2+$S$3-$T$3</f>
        <v>140</v>
      </c>
      <c r="E14" s="14">
        <f t="shared" si="1"/>
        <v>182000</v>
      </c>
      <c r="F14" s="7">
        <f t="shared" si="12"/>
        <v>30000</v>
      </c>
      <c r="G14" s="7">
        <f t="shared" si="2"/>
        <v>23.076923076923077</v>
      </c>
      <c r="H14" s="13">
        <f t="shared" si="3"/>
        <v>212000</v>
      </c>
      <c r="I14" s="7">
        <f t="shared" si="4"/>
        <v>163.07692307692307</v>
      </c>
      <c r="J14" s="7">
        <f t="shared" si="5"/>
        <v>163.07692307692307</v>
      </c>
      <c r="K14" s="13">
        <f t="shared" si="6"/>
        <v>178000</v>
      </c>
      <c r="L14" s="14">
        <f t="shared" si="7"/>
        <v>136.92307692307693</v>
      </c>
      <c r="M14" s="13">
        <f t="shared" si="9"/>
        <v>14000</v>
      </c>
      <c r="N14" s="7">
        <f t="shared" si="10"/>
        <v>30000</v>
      </c>
      <c r="O14" s="14">
        <f t="shared" si="11"/>
        <v>16000</v>
      </c>
      <c r="P14" s="24">
        <f t="shared" si="8"/>
        <v>0.45641025641025645</v>
      </c>
      <c r="R14" s="5"/>
      <c r="S14" s="5"/>
      <c r="T14" s="5"/>
    </row>
    <row r="15" spans="1:20" ht="14.25" customHeight="1" x14ac:dyDescent="0.25">
      <c r="A15" s="20">
        <v>1400</v>
      </c>
      <c r="B15" s="13">
        <v>300</v>
      </c>
      <c r="C15" s="7">
        <f t="shared" si="0"/>
        <v>420000</v>
      </c>
      <c r="D15" s="13">
        <f t="shared" si="13"/>
        <v>140</v>
      </c>
      <c r="E15" s="14">
        <f t="shared" si="1"/>
        <v>196000</v>
      </c>
      <c r="F15" s="7">
        <f t="shared" si="12"/>
        <v>30000</v>
      </c>
      <c r="G15" s="7">
        <f t="shared" si="2"/>
        <v>21.428571428571427</v>
      </c>
      <c r="H15" s="13">
        <f t="shared" si="3"/>
        <v>226000</v>
      </c>
      <c r="I15" s="7">
        <f t="shared" si="4"/>
        <v>161.42857142857142</v>
      </c>
      <c r="J15" s="7">
        <f t="shared" si="5"/>
        <v>161.42857142857142</v>
      </c>
      <c r="K15" s="13">
        <f t="shared" si="6"/>
        <v>194000</v>
      </c>
      <c r="L15" s="14">
        <f t="shared" si="7"/>
        <v>138.57142857142858</v>
      </c>
      <c r="M15" s="13">
        <f t="shared" si="9"/>
        <v>14000</v>
      </c>
      <c r="N15" s="7">
        <f t="shared" si="10"/>
        <v>30000</v>
      </c>
      <c r="O15" s="14">
        <f t="shared" si="11"/>
        <v>16000</v>
      </c>
      <c r="P15" s="24">
        <f t="shared" si="8"/>
        <v>0.46190476190476193</v>
      </c>
      <c r="R15" s="5"/>
      <c r="S15" s="5"/>
      <c r="T15" s="5"/>
    </row>
    <row r="16" spans="1:20" ht="14.25" customHeight="1" x14ac:dyDescent="0.25">
      <c r="A16" s="20">
        <v>1500</v>
      </c>
      <c r="B16" s="13">
        <v>300</v>
      </c>
      <c r="C16" s="7">
        <f t="shared" si="0"/>
        <v>450000</v>
      </c>
      <c r="D16" s="13">
        <f t="shared" si="13"/>
        <v>140</v>
      </c>
      <c r="E16" s="14">
        <f t="shared" si="1"/>
        <v>210000</v>
      </c>
      <c r="F16" s="7">
        <f t="shared" si="12"/>
        <v>30000</v>
      </c>
      <c r="G16" s="7">
        <f t="shared" si="2"/>
        <v>20</v>
      </c>
      <c r="H16" s="13">
        <f t="shared" si="3"/>
        <v>240000</v>
      </c>
      <c r="I16" s="7">
        <f t="shared" si="4"/>
        <v>160</v>
      </c>
      <c r="J16" s="7">
        <f t="shared" si="5"/>
        <v>160</v>
      </c>
      <c r="K16" s="13">
        <f t="shared" si="6"/>
        <v>210000</v>
      </c>
      <c r="L16" s="14">
        <f t="shared" si="7"/>
        <v>140</v>
      </c>
      <c r="M16" s="13">
        <f t="shared" si="9"/>
        <v>14000</v>
      </c>
      <c r="N16" s="7">
        <f t="shared" si="10"/>
        <v>30000</v>
      </c>
      <c r="O16" s="14">
        <f t="shared" si="11"/>
        <v>16000</v>
      </c>
      <c r="P16" s="24">
        <f t="shared" si="8"/>
        <v>0.46666666666666667</v>
      </c>
      <c r="R16" s="5"/>
      <c r="S16" s="5"/>
      <c r="T16" s="5"/>
    </row>
    <row r="17" spans="1:20" ht="14.25" customHeight="1" x14ac:dyDescent="0.25">
      <c r="A17" s="20">
        <v>1600</v>
      </c>
      <c r="B17" s="13">
        <v>300</v>
      </c>
      <c r="C17" s="7">
        <f t="shared" si="0"/>
        <v>480000</v>
      </c>
      <c r="D17" s="13">
        <f t="shared" si="13"/>
        <v>140</v>
      </c>
      <c r="E17" s="14">
        <f t="shared" si="1"/>
        <v>224000</v>
      </c>
      <c r="F17" s="7">
        <f t="shared" si="12"/>
        <v>30000</v>
      </c>
      <c r="G17" s="7">
        <f t="shared" si="2"/>
        <v>18.75</v>
      </c>
      <c r="H17" s="13">
        <f t="shared" si="3"/>
        <v>254000</v>
      </c>
      <c r="I17" s="7">
        <f t="shared" si="4"/>
        <v>158.75</v>
      </c>
      <c r="J17" s="7">
        <f t="shared" si="5"/>
        <v>158.75</v>
      </c>
      <c r="K17" s="13">
        <f t="shared" si="6"/>
        <v>226000</v>
      </c>
      <c r="L17" s="14">
        <f t="shared" si="7"/>
        <v>141.25</v>
      </c>
      <c r="M17" s="13">
        <f t="shared" si="9"/>
        <v>14000</v>
      </c>
      <c r="N17" s="7">
        <f t="shared" si="10"/>
        <v>30000</v>
      </c>
      <c r="O17" s="14">
        <f t="shared" si="11"/>
        <v>16000</v>
      </c>
      <c r="P17" s="24">
        <f t="shared" si="8"/>
        <v>0.47083333333333333</v>
      </c>
      <c r="R17" s="5"/>
      <c r="S17" s="5"/>
      <c r="T17" s="5"/>
    </row>
    <row r="18" spans="1:20" ht="14.25" customHeight="1" x14ac:dyDescent="0.25">
      <c r="A18" s="20">
        <v>1700</v>
      </c>
      <c r="B18" s="13">
        <v>300</v>
      </c>
      <c r="C18" s="7">
        <f t="shared" si="0"/>
        <v>510000</v>
      </c>
      <c r="D18" s="13">
        <f t="shared" si="13"/>
        <v>140</v>
      </c>
      <c r="E18" s="14">
        <f t="shared" si="1"/>
        <v>238000</v>
      </c>
      <c r="F18" s="7">
        <f t="shared" si="12"/>
        <v>30000</v>
      </c>
      <c r="G18" s="7">
        <f t="shared" si="2"/>
        <v>17.647058823529413</v>
      </c>
      <c r="H18" s="13">
        <f t="shared" si="3"/>
        <v>268000</v>
      </c>
      <c r="I18" s="7">
        <f t="shared" si="4"/>
        <v>157.64705882352942</v>
      </c>
      <c r="J18" s="7">
        <f t="shared" si="5"/>
        <v>157.64705882352942</v>
      </c>
      <c r="K18" s="13">
        <f t="shared" si="6"/>
        <v>242000</v>
      </c>
      <c r="L18" s="14">
        <f t="shared" si="7"/>
        <v>142.35294117647058</v>
      </c>
      <c r="M18" s="13">
        <f t="shared" si="9"/>
        <v>14000</v>
      </c>
      <c r="N18" s="7">
        <f t="shared" si="10"/>
        <v>30000</v>
      </c>
      <c r="O18" s="14">
        <f t="shared" si="11"/>
        <v>16000</v>
      </c>
      <c r="P18" s="24">
        <f t="shared" si="8"/>
        <v>0.47450980392156861</v>
      </c>
      <c r="R18" s="5"/>
      <c r="S18" s="5"/>
      <c r="T18" s="5"/>
    </row>
    <row r="19" spans="1:20" ht="14.25" customHeight="1" x14ac:dyDescent="0.25">
      <c r="A19" s="20">
        <v>1800</v>
      </c>
      <c r="B19" s="13">
        <v>300</v>
      </c>
      <c r="C19" s="7">
        <f t="shared" si="0"/>
        <v>540000</v>
      </c>
      <c r="D19" s="13">
        <f t="shared" si="13"/>
        <v>140</v>
      </c>
      <c r="E19" s="14">
        <f t="shared" si="1"/>
        <v>252000</v>
      </c>
      <c r="F19" s="7">
        <f t="shared" si="12"/>
        <v>30000</v>
      </c>
      <c r="G19" s="7">
        <f t="shared" si="2"/>
        <v>16.666666666666668</v>
      </c>
      <c r="H19" s="13">
        <f t="shared" si="3"/>
        <v>282000</v>
      </c>
      <c r="I19" s="7">
        <f t="shared" si="4"/>
        <v>156.66666666666666</v>
      </c>
      <c r="J19" s="7">
        <f t="shared" si="5"/>
        <v>156.66666666666666</v>
      </c>
      <c r="K19" s="13">
        <f t="shared" si="6"/>
        <v>258000</v>
      </c>
      <c r="L19" s="14">
        <f t="shared" si="7"/>
        <v>143.33333333333334</v>
      </c>
      <c r="M19" s="13">
        <f t="shared" si="9"/>
        <v>14000</v>
      </c>
      <c r="N19" s="7">
        <f t="shared" si="10"/>
        <v>30000</v>
      </c>
      <c r="O19" s="14">
        <f t="shared" si="11"/>
        <v>16000</v>
      </c>
      <c r="P19" s="24">
        <f t="shared" si="8"/>
        <v>0.4777777777777778</v>
      </c>
      <c r="R19" s="5"/>
      <c r="S19" s="5"/>
      <c r="T19" s="5"/>
    </row>
    <row r="20" spans="1:20" ht="14.25" customHeight="1" x14ac:dyDescent="0.25">
      <c r="A20" s="20">
        <v>1900</v>
      </c>
      <c r="B20" s="13">
        <v>300</v>
      </c>
      <c r="C20" s="7">
        <f t="shared" si="0"/>
        <v>570000</v>
      </c>
      <c r="D20" s="13">
        <f t="shared" si="13"/>
        <v>140</v>
      </c>
      <c r="E20" s="14">
        <f t="shared" si="1"/>
        <v>266000</v>
      </c>
      <c r="F20" s="7">
        <f t="shared" si="12"/>
        <v>30000</v>
      </c>
      <c r="G20" s="7">
        <f t="shared" si="2"/>
        <v>15.789473684210526</v>
      </c>
      <c r="H20" s="13">
        <f t="shared" si="3"/>
        <v>296000</v>
      </c>
      <c r="I20" s="7">
        <f t="shared" si="4"/>
        <v>155.78947368421052</v>
      </c>
      <c r="J20" s="7">
        <f t="shared" si="5"/>
        <v>155.78947368421052</v>
      </c>
      <c r="K20" s="13">
        <f t="shared" si="6"/>
        <v>274000</v>
      </c>
      <c r="L20" s="14">
        <f t="shared" si="7"/>
        <v>144.21052631578948</v>
      </c>
      <c r="M20" s="13">
        <f t="shared" si="9"/>
        <v>14000</v>
      </c>
      <c r="N20" s="7">
        <f t="shared" si="10"/>
        <v>30000</v>
      </c>
      <c r="O20" s="14">
        <f t="shared" si="11"/>
        <v>16000</v>
      </c>
      <c r="P20" s="24">
        <f t="shared" si="8"/>
        <v>0.48070175438596491</v>
      </c>
      <c r="R20" s="5"/>
      <c r="S20" s="5"/>
      <c r="T20" s="5"/>
    </row>
    <row r="21" spans="1:20" ht="14.25" customHeight="1" thickBot="1" x14ac:dyDescent="0.3">
      <c r="A21" s="21">
        <v>2000</v>
      </c>
      <c r="B21" s="15">
        <v>300</v>
      </c>
      <c r="C21" s="8">
        <f t="shared" si="0"/>
        <v>600000</v>
      </c>
      <c r="D21" s="15">
        <f t="shared" si="13"/>
        <v>140</v>
      </c>
      <c r="E21" s="16">
        <f t="shared" si="1"/>
        <v>280000</v>
      </c>
      <c r="F21" s="8">
        <f t="shared" si="12"/>
        <v>30000</v>
      </c>
      <c r="G21" s="8">
        <f t="shared" si="2"/>
        <v>15</v>
      </c>
      <c r="H21" s="15">
        <f t="shared" si="3"/>
        <v>310000</v>
      </c>
      <c r="I21" s="8">
        <f t="shared" si="4"/>
        <v>155</v>
      </c>
      <c r="J21" s="8">
        <f t="shared" si="5"/>
        <v>155</v>
      </c>
      <c r="K21" s="15">
        <f t="shared" si="6"/>
        <v>290000</v>
      </c>
      <c r="L21" s="16">
        <f t="shared" si="7"/>
        <v>145</v>
      </c>
      <c r="M21" s="15">
        <f t="shared" si="9"/>
        <v>14000</v>
      </c>
      <c r="N21" s="8">
        <f t="shared" si="10"/>
        <v>30000</v>
      </c>
      <c r="O21" s="16">
        <f t="shared" si="11"/>
        <v>16000</v>
      </c>
      <c r="P21" s="25">
        <f t="shared" si="8"/>
        <v>0.48333333333333334</v>
      </c>
      <c r="R21" s="5"/>
      <c r="S21" s="5"/>
      <c r="T21" s="5"/>
    </row>
    <row r="22" spans="1:20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R22" s="5"/>
      <c r="S22" s="5"/>
      <c r="T22" s="5"/>
    </row>
    <row r="23" spans="1:20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R23" s="5"/>
      <c r="S23" s="5"/>
      <c r="T23" s="5"/>
    </row>
    <row r="24" spans="1:20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R24" s="5"/>
      <c r="S24" s="5"/>
      <c r="T24" s="5"/>
    </row>
    <row r="25" spans="1:20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R25" s="5"/>
      <c r="S25" s="5"/>
      <c r="T25" s="5"/>
    </row>
    <row r="26" spans="1:20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R26" s="5"/>
      <c r="S26" s="5"/>
      <c r="T26" s="5"/>
    </row>
    <row r="27" spans="1:20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R27" s="5"/>
      <c r="S27" s="5"/>
      <c r="T27" s="5"/>
    </row>
    <row r="28" spans="1:20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R28" s="5"/>
      <c r="S28" s="5"/>
      <c r="T28" s="5"/>
    </row>
    <row r="29" spans="1:20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R29" s="5"/>
      <c r="S29" s="5"/>
      <c r="T29" s="5"/>
    </row>
    <row r="30" spans="1:20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R30" s="5"/>
      <c r="S30" s="5"/>
      <c r="T30" s="5"/>
    </row>
    <row r="31" spans="1:20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R31" s="5"/>
      <c r="S31" s="5"/>
      <c r="T31" s="5"/>
    </row>
    <row r="32" spans="1:20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R32" s="5"/>
      <c r="S32" s="5"/>
      <c r="T32" s="5"/>
    </row>
    <row r="33" spans="1:20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R33" s="5"/>
      <c r="S33" s="5"/>
      <c r="T33" s="5"/>
    </row>
    <row r="34" spans="1:20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R34" s="5"/>
      <c r="S34" s="5"/>
      <c r="T34" s="5"/>
    </row>
    <row r="35" spans="1:20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R35" s="5"/>
      <c r="S35" s="5"/>
      <c r="T35" s="5"/>
    </row>
    <row r="36" spans="1:20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R36" s="5"/>
      <c r="S36" s="5"/>
      <c r="T36" s="5"/>
    </row>
    <row r="37" spans="1:20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R37" s="5"/>
      <c r="S37" s="5"/>
      <c r="T37" s="5"/>
    </row>
    <row r="38" spans="1:20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R38" s="5"/>
      <c r="S38" s="5"/>
      <c r="T38" s="5"/>
    </row>
    <row r="39" spans="1:20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R39" s="5"/>
      <c r="S39" s="5"/>
      <c r="T39" s="5"/>
    </row>
    <row r="40" spans="1:20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R40" s="5"/>
      <c r="S40" s="5"/>
      <c r="T40" s="5"/>
    </row>
    <row r="41" spans="1:20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R41" s="5"/>
      <c r="S41" s="5"/>
      <c r="T41" s="5"/>
    </row>
    <row r="42" spans="1:20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R42" s="5"/>
      <c r="S42" s="5"/>
      <c r="T42" s="5"/>
    </row>
    <row r="43" spans="1:20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R43" s="5"/>
      <c r="S43" s="5"/>
      <c r="T43" s="5"/>
    </row>
    <row r="44" spans="1:20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R44" s="5"/>
      <c r="S44" s="5"/>
      <c r="T44" s="5"/>
    </row>
    <row r="45" spans="1:20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R45" s="5"/>
      <c r="S45" s="5"/>
      <c r="T45" s="5"/>
    </row>
    <row r="46" spans="1:20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R46" s="5"/>
      <c r="S46" s="5"/>
      <c r="T46" s="5"/>
    </row>
    <row r="47" spans="1:20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R47" s="5"/>
      <c r="S47" s="5"/>
      <c r="T47" s="5"/>
    </row>
    <row r="48" spans="1:20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R48" s="5"/>
      <c r="S48" s="5"/>
      <c r="T48" s="5"/>
    </row>
    <row r="49" spans="1:20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R49" s="5"/>
      <c r="S49" s="5"/>
      <c r="T49" s="5"/>
    </row>
    <row r="50" spans="1:20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R50" s="5"/>
      <c r="S50" s="5"/>
      <c r="T50" s="5"/>
    </row>
    <row r="51" spans="1:20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R51" s="5"/>
      <c r="S51" s="5"/>
      <c r="T51" s="5"/>
    </row>
    <row r="52" spans="1:20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R52" s="5"/>
      <c r="S52" s="5"/>
      <c r="T52" s="5"/>
    </row>
    <row r="53" spans="1:20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R53" s="5"/>
      <c r="S53" s="5"/>
      <c r="T53" s="5"/>
    </row>
    <row r="54" spans="1:20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R54" s="5"/>
      <c r="S54" s="5"/>
      <c r="T54" s="5"/>
    </row>
    <row r="55" spans="1:20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R55" s="5"/>
      <c r="S55" s="5"/>
      <c r="T55" s="5"/>
    </row>
    <row r="56" spans="1:20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R56" s="5"/>
      <c r="S56" s="5"/>
      <c r="T56" s="5"/>
    </row>
    <row r="57" spans="1:20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R57" s="5"/>
      <c r="S57" s="5"/>
      <c r="T57" s="5"/>
    </row>
    <row r="58" spans="1:20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R58" s="5"/>
      <c r="S58" s="5"/>
      <c r="T58" s="5"/>
    </row>
    <row r="59" spans="1:20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R59" s="5"/>
      <c r="S59" s="5"/>
      <c r="T59" s="5"/>
    </row>
    <row r="60" spans="1:20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R60" s="5"/>
      <c r="S60" s="5"/>
      <c r="T60" s="5"/>
    </row>
    <row r="61" spans="1:20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R61" s="5"/>
      <c r="S61" s="5"/>
      <c r="T61" s="5"/>
    </row>
    <row r="62" spans="1:20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R62" s="5"/>
      <c r="S62" s="5"/>
      <c r="T62" s="5"/>
    </row>
    <row r="63" spans="1:20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R63" s="5"/>
      <c r="S63" s="5"/>
      <c r="T63" s="5"/>
    </row>
    <row r="64" spans="1:20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R64" s="5"/>
      <c r="S64" s="5"/>
      <c r="T64" s="5"/>
    </row>
    <row r="65" spans="1:20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R65" s="5"/>
      <c r="S65" s="5"/>
      <c r="T65" s="5"/>
    </row>
    <row r="66" spans="1:20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R66" s="5"/>
      <c r="S66" s="5"/>
      <c r="T66" s="5"/>
    </row>
    <row r="67" spans="1:20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R67" s="5"/>
      <c r="S67" s="5"/>
      <c r="T67" s="5"/>
    </row>
    <row r="68" spans="1:20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R68" s="5"/>
      <c r="S68" s="5"/>
      <c r="T68" s="5"/>
    </row>
    <row r="69" spans="1:20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R69" s="5"/>
      <c r="S69" s="5"/>
      <c r="T69" s="5"/>
    </row>
    <row r="70" spans="1:20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R70" s="5"/>
      <c r="S70" s="5"/>
      <c r="T70" s="5"/>
    </row>
    <row r="71" spans="1:20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R71" s="5"/>
      <c r="S71" s="5"/>
      <c r="T71" s="5"/>
    </row>
    <row r="72" spans="1:20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R72" s="5"/>
      <c r="S72" s="5"/>
      <c r="T72" s="5"/>
    </row>
    <row r="73" spans="1:20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R73" s="5"/>
      <c r="S73" s="5"/>
      <c r="T73" s="5"/>
    </row>
    <row r="74" spans="1:20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R74" s="5"/>
      <c r="S74" s="5"/>
      <c r="T74" s="5"/>
    </row>
    <row r="75" spans="1:20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R75" s="5"/>
      <c r="S75" s="5"/>
      <c r="T75" s="5"/>
    </row>
    <row r="76" spans="1:20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R76" s="5"/>
      <c r="S76" s="5"/>
      <c r="T76" s="5"/>
    </row>
    <row r="77" spans="1:20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R77" s="5"/>
      <c r="S77" s="5"/>
      <c r="T77" s="5"/>
    </row>
    <row r="78" spans="1:20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R78" s="5"/>
      <c r="S78" s="5"/>
      <c r="T78" s="5"/>
    </row>
    <row r="79" spans="1:20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R79" s="5"/>
      <c r="S79" s="5"/>
      <c r="T79" s="5"/>
    </row>
    <row r="80" spans="1:20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R80" s="5"/>
      <c r="S80" s="5"/>
      <c r="T80" s="5"/>
    </row>
    <row r="81" spans="1:20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R81" s="5"/>
      <c r="S81" s="5"/>
      <c r="T81" s="5"/>
    </row>
    <row r="82" spans="1:20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R82" s="5"/>
      <c r="S82" s="5"/>
      <c r="T82" s="5"/>
    </row>
    <row r="83" spans="1:20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R83" s="5"/>
      <c r="S83" s="5"/>
      <c r="T83" s="5"/>
    </row>
    <row r="84" spans="1:20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R84" s="5"/>
      <c r="S84" s="5"/>
      <c r="T84" s="5"/>
    </row>
    <row r="85" spans="1:20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R85" s="5"/>
      <c r="S85" s="5"/>
      <c r="T85" s="5"/>
    </row>
    <row r="86" spans="1:20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R86" s="5"/>
      <c r="S86" s="5"/>
      <c r="T86" s="5"/>
    </row>
    <row r="87" spans="1:20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R87" s="5"/>
      <c r="S87" s="5"/>
      <c r="T87" s="5"/>
    </row>
    <row r="88" spans="1:20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R88" s="5"/>
      <c r="S88" s="5"/>
      <c r="T88" s="5"/>
    </row>
    <row r="89" spans="1:20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R89" s="5"/>
      <c r="S89" s="5"/>
      <c r="T89" s="5"/>
    </row>
    <row r="90" spans="1:20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R90" s="5"/>
      <c r="S90" s="5"/>
      <c r="T90" s="5"/>
    </row>
    <row r="91" spans="1:20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R91" s="5"/>
      <c r="S91" s="5"/>
      <c r="T91" s="5"/>
    </row>
    <row r="92" spans="1:20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R92" s="5"/>
      <c r="S92" s="5"/>
      <c r="T92" s="5"/>
    </row>
    <row r="93" spans="1:20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R93" s="5"/>
      <c r="S93" s="5"/>
      <c r="T93" s="5"/>
    </row>
    <row r="94" spans="1:20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R94" s="5"/>
      <c r="S94" s="5"/>
      <c r="T94" s="5"/>
    </row>
    <row r="95" spans="1:20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R95" s="5"/>
      <c r="S95" s="5"/>
      <c r="T95" s="5"/>
    </row>
    <row r="96" spans="1:20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R96" s="5"/>
      <c r="S96" s="5"/>
      <c r="T96" s="5"/>
    </row>
    <row r="97" spans="1:20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R97" s="5"/>
      <c r="S97" s="5"/>
      <c r="T97" s="5"/>
    </row>
    <row r="98" spans="1:20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R98" s="5"/>
      <c r="S98" s="5"/>
      <c r="T98" s="5"/>
    </row>
    <row r="99" spans="1:20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R99" s="5"/>
      <c r="S99" s="5"/>
      <c r="T99" s="5"/>
    </row>
    <row r="100" spans="1:20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R100" s="5"/>
      <c r="S100" s="5"/>
      <c r="T100" s="5"/>
    </row>
    <row r="101" spans="1:20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R101" s="5"/>
      <c r="S101" s="5"/>
      <c r="T101" s="5"/>
    </row>
    <row r="102" spans="1:20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R102" s="5"/>
      <c r="S102" s="5"/>
      <c r="T102" s="5"/>
    </row>
    <row r="103" spans="1:20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R103" s="5"/>
      <c r="S103" s="5"/>
      <c r="T103" s="5"/>
    </row>
    <row r="104" spans="1:20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R104" s="5"/>
      <c r="S104" s="5"/>
      <c r="T104" s="5"/>
    </row>
    <row r="105" spans="1:20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R105" s="5"/>
      <c r="S105" s="5"/>
      <c r="T105" s="5"/>
    </row>
    <row r="106" spans="1:20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R106" s="5"/>
      <c r="S106" s="5"/>
      <c r="T106" s="5"/>
    </row>
    <row r="107" spans="1:20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R107" s="5"/>
      <c r="S107" s="5"/>
      <c r="T107" s="5"/>
    </row>
    <row r="108" spans="1:20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R108" s="5"/>
      <c r="S108" s="5"/>
      <c r="T108" s="5"/>
    </row>
    <row r="109" spans="1:20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R109" s="5"/>
      <c r="S109" s="5"/>
      <c r="T109" s="5"/>
    </row>
    <row r="110" spans="1:20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R110" s="5"/>
      <c r="S110" s="5"/>
      <c r="T110" s="5"/>
    </row>
    <row r="111" spans="1:20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R111" s="5"/>
      <c r="S111" s="5"/>
      <c r="T111" s="5"/>
    </row>
    <row r="112" spans="1:20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R112" s="5"/>
      <c r="S112" s="5"/>
      <c r="T112" s="5"/>
    </row>
    <row r="113" spans="1:20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R113" s="5"/>
      <c r="S113" s="5"/>
      <c r="T113" s="5"/>
    </row>
    <row r="114" spans="1:20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R114" s="5"/>
      <c r="S114" s="5"/>
      <c r="T114" s="5"/>
    </row>
    <row r="115" spans="1:20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R115" s="5"/>
      <c r="S115" s="5"/>
      <c r="T115" s="5"/>
    </row>
    <row r="116" spans="1:20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R116" s="5"/>
      <c r="S116" s="5"/>
      <c r="T116" s="5"/>
    </row>
    <row r="117" spans="1:20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R117" s="5"/>
      <c r="S117" s="5"/>
      <c r="T117" s="5"/>
    </row>
    <row r="118" spans="1:20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R118" s="5"/>
      <c r="S118" s="5"/>
      <c r="T118" s="5"/>
    </row>
    <row r="119" spans="1:20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R119" s="5"/>
      <c r="S119" s="5"/>
      <c r="T119" s="5"/>
    </row>
    <row r="120" spans="1:20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R120" s="5"/>
      <c r="S120" s="5"/>
      <c r="T120" s="5"/>
    </row>
    <row r="121" spans="1:20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R121" s="5"/>
      <c r="S121" s="5"/>
      <c r="T121" s="5"/>
    </row>
    <row r="122" spans="1:20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R122" s="5"/>
      <c r="S122" s="5"/>
      <c r="T122" s="5"/>
    </row>
    <row r="123" spans="1:20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R123" s="5"/>
      <c r="S123" s="5"/>
      <c r="T123" s="5"/>
    </row>
    <row r="124" spans="1:20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R124" s="5"/>
      <c r="S124" s="5"/>
      <c r="T124" s="5"/>
    </row>
    <row r="125" spans="1:20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R125" s="5"/>
      <c r="S125" s="5"/>
      <c r="T125" s="5"/>
    </row>
    <row r="126" spans="1:20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R126" s="5"/>
      <c r="S126" s="5"/>
      <c r="T126" s="5"/>
    </row>
    <row r="127" spans="1:20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R127" s="5"/>
      <c r="S127" s="5"/>
      <c r="T127" s="5"/>
    </row>
    <row r="128" spans="1:20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R128" s="5"/>
      <c r="S128" s="5"/>
      <c r="T128" s="5"/>
    </row>
    <row r="129" spans="1:20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R129" s="5"/>
      <c r="S129" s="5"/>
      <c r="T129" s="5"/>
    </row>
    <row r="130" spans="1:20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R130" s="5"/>
      <c r="S130" s="5"/>
      <c r="T130" s="5"/>
    </row>
    <row r="131" spans="1:20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R131" s="5"/>
      <c r="S131" s="5"/>
      <c r="T131" s="5"/>
    </row>
    <row r="132" spans="1:20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R132" s="5"/>
      <c r="S132" s="5"/>
      <c r="T132" s="5"/>
    </row>
    <row r="133" spans="1:20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R133" s="5"/>
      <c r="S133" s="5"/>
      <c r="T133" s="5"/>
    </row>
    <row r="134" spans="1:20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R134" s="5"/>
      <c r="S134" s="5"/>
      <c r="T134" s="5"/>
    </row>
    <row r="135" spans="1:20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R135" s="5"/>
      <c r="S135" s="5"/>
      <c r="T135" s="5"/>
    </row>
    <row r="136" spans="1:20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R136" s="5"/>
      <c r="S136" s="5"/>
      <c r="T136" s="5"/>
    </row>
    <row r="137" spans="1:20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R137" s="5"/>
      <c r="S137" s="5"/>
      <c r="T137" s="5"/>
    </row>
    <row r="138" spans="1:20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R138" s="5"/>
      <c r="S138" s="5"/>
      <c r="T138" s="5"/>
    </row>
    <row r="139" spans="1:20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R139" s="5"/>
      <c r="S139" s="5"/>
      <c r="T139" s="5"/>
    </row>
    <row r="140" spans="1:20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R140" s="5"/>
      <c r="S140" s="5"/>
      <c r="T140" s="5"/>
    </row>
    <row r="141" spans="1:20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R141" s="5"/>
      <c r="S141" s="5"/>
      <c r="T141" s="5"/>
    </row>
    <row r="142" spans="1:20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R142" s="5"/>
      <c r="S142" s="5"/>
      <c r="T142" s="5"/>
    </row>
    <row r="143" spans="1:20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R143" s="5"/>
      <c r="S143" s="5"/>
      <c r="T143" s="5"/>
    </row>
    <row r="144" spans="1:20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R144" s="5"/>
      <c r="S144" s="5"/>
      <c r="T144" s="5"/>
    </row>
    <row r="145" spans="1:20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R145" s="5"/>
      <c r="S145" s="5"/>
      <c r="T145" s="5"/>
    </row>
    <row r="146" spans="1:20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R146" s="5"/>
      <c r="S146" s="5"/>
      <c r="T146" s="5"/>
    </row>
    <row r="147" spans="1:20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R147" s="5"/>
      <c r="S147" s="5"/>
      <c r="T147" s="5"/>
    </row>
    <row r="148" spans="1:20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R148" s="5"/>
      <c r="S148" s="5"/>
      <c r="T148" s="5"/>
    </row>
    <row r="149" spans="1:20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R149" s="5"/>
      <c r="S149" s="5"/>
      <c r="T149" s="5"/>
    </row>
    <row r="150" spans="1:20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R150" s="5"/>
      <c r="S150" s="5"/>
      <c r="T150" s="5"/>
    </row>
    <row r="151" spans="1:20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R151" s="5"/>
      <c r="S151" s="5"/>
      <c r="T151" s="5"/>
    </row>
    <row r="152" spans="1:20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R152" s="5"/>
      <c r="S152" s="5"/>
      <c r="T152" s="5"/>
    </row>
    <row r="153" spans="1:20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R153" s="5"/>
      <c r="S153" s="5"/>
      <c r="T153" s="5"/>
    </row>
    <row r="154" spans="1:20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R154" s="5"/>
      <c r="S154" s="5"/>
      <c r="T154" s="5"/>
    </row>
    <row r="155" spans="1:20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R155" s="5"/>
      <c r="S155" s="5"/>
      <c r="T155" s="5"/>
    </row>
    <row r="156" spans="1:20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R156" s="5"/>
      <c r="S156" s="5"/>
      <c r="T156" s="5"/>
    </row>
    <row r="157" spans="1:20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R157" s="5"/>
      <c r="S157" s="5"/>
      <c r="T157" s="5"/>
    </row>
    <row r="158" spans="1:20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R158" s="5"/>
      <c r="S158" s="5"/>
      <c r="T158" s="5"/>
    </row>
    <row r="159" spans="1:20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R159" s="5"/>
      <c r="S159" s="5"/>
      <c r="T159" s="5"/>
    </row>
    <row r="160" spans="1:20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R160" s="5"/>
      <c r="S160" s="5"/>
      <c r="T160" s="5"/>
    </row>
    <row r="161" spans="1:20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R161" s="5"/>
      <c r="S161" s="5"/>
      <c r="T161" s="5"/>
    </row>
    <row r="162" spans="1:20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R162" s="5"/>
      <c r="S162" s="5"/>
      <c r="T162" s="5"/>
    </row>
    <row r="163" spans="1:20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R163" s="5"/>
      <c r="S163" s="5"/>
      <c r="T163" s="5"/>
    </row>
    <row r="164" spans="1:20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R164" s="5"/>
      <c r="S164" s="5"/>
      <c r="T164" s="5"/>
    </row>
    <row r="165" spans="1:20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R165" s="5"/>
      <c r="S165" s="5"/>
      <c r="T165" s="5"/>
    </row>
    <row r="166" spans="1:20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R166" s="5"/>
      <c r="S166" s="5"/>
      <c r="T166" s="5"/>
    </row>
    <row r="167" spans="1:20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R167" s="5"/>
      <c r="S167" s="5"/>
      <c r="T167" s="5"/>
    </row>
    <row r="168" spans="1:20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R168" s="5"/>
      <c r="S168" s="5"/>
      <c r="T168" s="5"/>
    </row>
    <row r="169" spans="1:20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R169" s="5"/>
      <c r="S169" s="5"/>
      <c r="T169" s="5"/>
    </row>
    <row r="170" spans="1:20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R170" s="5"/>
      <c r="S170" s="5"/>
      <c r="T170" s="5"/>
    </row>
    <row r="171" spans="1:20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R171" s="5"/>
      <c r="S171" s="5"/>
      <c r="T171" s="5"/>
    </row>
    <row r="172" spans="1:20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R172" s="5"/>
      <c r="S172" s="5"/>
      <c r="T172" s="5"/>
    </row>
    <row r="173" spans="1:20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R173" s="5"/>
      <c r="S173" s="5"/>
      <c r="T173" s="5"/>
    </row>
    <row r="174" spans="1:20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R174" s="5"/>
      <c r="S174" s="5"/>
      <c r="T174" s="5"/>
    </row>
    <row r="175" spans="1:20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R175" s="5"/>
      <c r="S175" s="5"/>
      <c r="T175" s="5"/>
    </row>
    <row r="176" spans="1:20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R176" s="5"/>
      <c r="S176" s="5"/>
      <c r="T176" s="5"/>
    </row>
    <row r="177" spans="1:20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R177" s="5"/>
      <c r="S177" s="5"/>
      <c r="T177" s="5"/>
    </row>
    <row r="178" spans="1:20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R178" s="5"/>
      <c r="S178" s="5"/>
      <c r="T178" s="5"/>
    </row>
    <row r="179" spans="1:20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R179" s="5"/>
      <c r="S179" s="5"/>
      <c r="T179" s="5"/>
    </row>
    <row r="180" spans="1:20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R180" s="5"/>
      <c r="S180" s="5"/>
      <c r="T180" s="5"/>
    </row>
    <row r="181" spans="1:20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R181" s="5"/>
      <c r="S181" s="5"/>
      <c r="T181" s="5"/>
    </row>
    <row r="182" spans="1:20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R182" s="5"/>
      <c r="S182" s="5"/>
      <c r="T182" s="5"/>
    </row>
    <row r="183" spans="1:20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R183" s="5"/>
      <c r="S183" s="5"/>
      <c r="T183" s="5"/>
    </row>
    <row r="184" spans="1:20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R184" s="5"/>
      <c r="S184" s="5"/>
      <c r="T184" s="5"/>
    </row>
    <row r="185" spans="1:20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R185" s="5"/>
      <c r="S185" s="5"/>
      <c r="T185" s="5"/>
    </row>
    <row r="186" spans="1:20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R186" s="5"/>
      <c r="S186" s="5"/>
      <c r="T186" s="5"/>
    </row>
    <row r="187" spans="1:20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R187" s="5"/>
      <c r="S187" s="5"/>
      <c r="T187" s="5"/>
    </row>
    <row r="188" spans="1:20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R188" s="5"/>
      <c r="S188" s="5"/>
      <c r="T188" s="5"/>
    </row>
    <row r="189" spans="1:20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R189" s="5"/>
      <c r="S189" s="5"/>
      <c r="T189" s="5"/>
    </row>
    <row r="190" spans="1:20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R190" s="5"/>
      <c r="S190" s="5"/>
      <c r="T190" s="5"/>
    </row>
    <row r="191" spans="1:20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R191" s="5"/>
      <c r="S191" s="5"/>
      <c r="T191" s="5"/>
    </row>
    <row r="192" spans="1:20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R192" s="5"/>
      <c r="S192" s="5"/>
      <c r="T192" s="5"/>
    </row>
    <row r="193" spans="1:20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R193" s="5"/>
      <c r="S193" s="5"/>
      <c r="T193" s="5"/>
    </row>
    <row r="194" spans="1:20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R194" s="5"/>
      <c r="S194" s="5"/>
      <c r="T194" s="5"/>
    </row>
    <row r="195" spans="1:20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R195" s="5"/>
      <c r="S195" s="5"/>
      <c r="T195" s="5"/>
    </row>
    <row r="196" spans="1:20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R196" s="5"/>
      <c r="S196" s="5"/>
      <c r="T196" s="5"/>
    </row>
    <row r="197" spans="1:20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R197" s="5"/>
      <c r="S197" s="5"/>
      <c r="T197" s="5"/>
    </row>
    <row r="198" spans="1:20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R198" s="5"/>
      <c r="S198" s="5"/>
      <c r="T198" s="5"/>
    </row>
    <row r="199" spans="1:20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R199" s="5"/>
      <c r="S199" s="5"/>
      <c r="T199" s="5"/>
    </row>
    <row r="200" spans="1:20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R200" s="5"/>
      <c r="S200" s="5"/>
      <c r="T200" s="5"/>
    </row>
    <row r="201" spans="1:20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R201" s="5"/>
      <c r="S201" s="5"/>
      <c r="T201" s="5"/>
    </row>
    <row r="202" spans="1:20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R202" s="5"/>
      <c r="S202" s="5"/>
      <c r="T202" s="5"/>
    </row>
    <row r="203" spans="1:20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R203" s="5"/>
      <c r="S203" s="5"/>
      <c r="T203" s="5"/>
    </row>
    <row r="204" spans="1:20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R204" s="5"/>
      <c r="S204" s="5"/>
      <c r="T204" s="5"/>
    </row>
    <row r="205" spans="1:20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R205" s="5"/>
      <c r="S205" s="5"/>
      <c r="T205" s="5"/>
    </row>
    <row r="206" spans="1:20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R206" s="5"/>
      <c r="S206" s="5"/>
      <c r="T206" s="5"/>
    </row>
    <row r="207" spans="1:20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R207" s="5"/>
      <c r="S207" s="5"/>
      <c r="T207" s="5"/>
    </row>
    <row r="208" spans="1:20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R208" s="5"/>
      <c r="S208" s="5"/>
      <c r="T208" s="5"/>
    </row>
    <row r="209" spans="1:20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R209" s="5"/>
      <c r="S209" s="5"/>
      <c r="T209" s="5"/>
    </row>
    <row r="210" spans="1:20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R210" s="5"/>
      <c r="S210" s="5"/>
      <c r="T210" s="5"/>
    </row>
    <row r="211" spans="1:20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R211" s="5"/>
      <c r="S211" s="5"/>
      <c r="T211" s="5"/>
    </row>
    <row r="212" spans="1:20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R212" s="5"/>
      <c r="S212" s="5"/>
      <c r="T212" s="5"/>
    </row>
    <row r="213" spans="1:20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R213" s="5"/>
      <c r="S213" s="5"/>
      <c r="T213" s="5"/>
    </row>
    <row r="214" spans="1:20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R214" s="5"/>
      <c r="S214" s="5"/>
      <c r="T214" s="5"/>
    </row>
    <row r="215" spans="1:20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R215" s="5"/>
      <c r="S215" s="5"/>
      <c r="T215" s="5"/>
    </row>
    <row r="216" spans="1:20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R216" s="5"/>
      <c r="S216" s="5"/>
      <c r="T216" s="5"/>
    </row>
    <row r="217" spans="1:20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R217" s="5"/>
      <c r="S217" s="5"/>
      <c r="T217" s="5"/>
    </row>
    <row r="218" spans="1:20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R218" s="5"/>
      <c r="S218" s="5"/>
      <c r="T218" s="5"/>
    </row>
    <row r="219" spans="1:20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R219" s="5"/>
      <c r="S219" s="5"/>
      <c r="T219" s="5"/>
    </row>
    <row r="220" spans="1:20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R220" s="5"/>
      <c r="S220" s="5"/>
      <c r="T220" s="5"/>
    </row>
    <row r="221" spans="1:20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R221" s="5"/>
      <c r="S221" s="5"/>
      <c r="T221" s="5"/>
    </row>
    <row r="222" spans="1:20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R222" s="5"/>
      <c r="S222" s="5"/>
      <c r="T222" s="5"/>
    </row>
    <row r="223" spans="1:20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R223" s="5"/>
      <c r="S223" s="5"/>
      <c r="T223" s="5"/>
    </row>
    <row r="224" spans="1:20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R224" s="5"/>
      <c r="S224" s="5"/>
      <c r="T224" s="5"/>
    </row>
    <row r="225" spans="1:20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R225" s="5"/>
      <c r="S225" s="5"/>
      <c r="T225" s="5"/>
    </row>
    <row r="226" spans="1:20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R226" s="5"/>
      <c r="S226" s="5"/>
      <c r="T226" s="5"/>
    </row>
    <row r="227" spans="1:20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R227" s="5"/>
      <c r="S227" s="5"/>
      <c r="T227" s="5"/>
    </row>
    <row r="228" spans="1:20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R228" s="5"/>
      <c r="S228" s="5"/>
      <c r="T228" s="5"/>
    </row>
    <row r="229" spans="1:20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R229" s="5"/>
      <c r="S229" s="5"/>
      <c r="T229" s="5"/>
    </row>
    <row r="230" spans="1:20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R230" s="5"/>
      <c r="S230" s="5"/>
      <c r="T230" s="5"/>
    </row>
    <row r="231" spans="1:20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R231" s="5"/>
      <c r="S231" s="5"/>
      <c r="T231" s="5"/>
    </row>
    <row r="232" spans="1:20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R232" s="5"/>
      <c r="S232" s="5"/>
      <c r="T232" s="5"/>
    </row>
    <row r="233" spans="1:20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R233" s="5"/>
      <c r="S233" s="5"/>
      <c r="T233" s="5"/>
    </row>
    <row r="234" spans="1:20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R234" s="5"/>
      <c r="S234" s="5"/>
      <c r="T234" s="5"/>
    </row>
    <row r="235" spans="1:20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R235" s="5"/>
      <c r="S235" s="5"/>
      <c r="T235" s="5"/>
    </row>
    <row r="236" spans="1:20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R236" s="5"/>
      <c r="S236" s="5"/>
      <c r="T236" s="5"/>
    </row>
    <row r="237" spans="1:20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R237" s="5"/>
      <c r="S237" s="5"/>
      <c r="T237" s="5"/>
    </row>
    <row r="238" spans="1:20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R238" s="5"/>
      <c r="S238" s="5"/>
      <c r="T238" s="5"/>
    </row>
    <row r="239" spans="1:20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R239" s="5"/>
      <c r="S239" s="5"/>
      <c r="T239" s="5"/>
    </row>
    <row r="240" spans="1:20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R240" s="5"/>
      <c r="S240" s="5"/>
      <c r="T240" s="5"/>
    </row>
    <row r="241" spans="1:20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R241" s="5"/>
      <c r="S241" s="5"/>
      <c r="T241" s="5"/>
    </row>
    <row r="242" spans="1:20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R242" s="5"/>
      <c r="S242" s="5"/>
      <c r="T242" s="5"/>
    </row>
    <row r="243" spans="1:20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R243" s="5"/>
      <c r="S243" s="5"/>
      <c r="T243" s="5"/>
    </row>
    <row r="244" spans="1:20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R244" s="5"/>
      <c r="S244" s="5"/>
      <c r="T244" s="5"/>
    </row>
    <row r="245" spans="1:20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R245" s="5"/>
      <c r="S245" s="5"/>
      <c r="T245" s="5"/>
    </row>
    <row r="246" spans="1:20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R246" s="5"/>
      <c r="S246" s="5"/>
      <c r="T246" s="5"/>
    </row>
    <row r="247" spans="1:20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R247" s="5"/>
      <c r="S247" s="5"/>
      <c r="T247" s="5"/>
    </row>
    <row r="248" spans="1:20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R248" s="5"/>
      <c r="S248" s="5"/>
      <c r="T248" s="5"/>
    </row>
    <row r="249" spans="1:20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R249" s="5"/>
      <c r="S249" s="5"/>
      <c r="T249" s="5"/>
    </row>
    <row r="250" spans="1:20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R250" s="5"/>
      <c r="S250" s="5"/>
      <c r="T250" s="5"/>
    </row>
    <row r="251" spans="1:20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R251" s="5"/>
      <c r="S251" s="5"/>
      <c r="T251" s="5"/>
    </row>
    <row r="252" spans="1:20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R252" s="5"/>
      <c r="S252" s="5"/>
      <c r="T252" s="5"/>
    </row>
    <row r="253" spans="1:20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R253" s="5"/>
      <c r="S253" s="5"/>
      <c r="T253" s="5"/>
    </row>
    <row r="254" spans="1:20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R254" s="5"/>
      <c r="S254" s="5"/>
      <c r="T254" s="5"/>
    </row>
    <row r="255" spans="1:20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R255" s="5"/>
      <c r="S255" s="5"/>
      <c r="T255" s="5"/>
    </row>
    <row r="256" spans="1:20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R256" s="5"/>
      <c r="S256" s="5"/>
      <c r="T256" s="5"/>
    </row>
    <row r="257" spans="1:20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R257" s="5"/>
      <c r="S257" s="5"/>
      <c r="T257" s="5"/>
    </row>
    <row r="258" spans="1:20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R258" s="5"/>
      <c r="S258" s="5"/>
      <c r="T258" s="5"/>
    </row>
    <row r="259" spans="1:20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R259" s="5"/>
      <c r="S259" s="5"/>
      <c r="T259" s="5"/>
    </row>
    <row r="260" spans="1:20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R260" s="5"/>
      <c r="S260" s="5"/>
      <c r="T260" s="5"/>
    </row>
    <row r="261" spans="1:20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R261" s="5"/>
      <c r="S261" s="5"/>
      <c r="T261" s="5"/>
    </row>
    <row r="262" spans="1:20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R262" s="5"/>
      <c r="S262" s="5"/>
      <c r="T262" s="5"/>
    </row>
    <row r="263" spans="1:20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R263" s="5"/>
      <c r="S263" s="5"/>
      <c r="T263" s="5"/>
    </row>
    <row r="264" spans="1:20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R264" s="5"/>
      <c r="S264" s="5"/>
      <c r="T264" s="5"/>
    </row>
    <row r="265" spans="1:20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R265" s="5"/>
      <c r="S265" s="5"/>
      <c r="T265" s="5"/>
    </row>
    <row r="266" spans="1:20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R266" s="5"/>
      <c r="S266" s="5"/>
      <c r="T266" s="5"/>
    </row>
    <row r="267" spans="1:20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R267" s="5"/>
      <c r="S267" s="5"/>
      <c r="T267" s="5"/>
    </row>
    <row r="268" spans="1:20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R268" s="5"/>
      <c r="S268" s="5"/>
      <c r="T268" s="5"/>
    </row>
    <row r="269" spans="1:20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R269" s="5"/>
      <c r="S269" s="5"/>
      <c r="T269" s="5"/>
    </row>
    <row r="270" spans="1:20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R270" s="5"/>
      <c r="S270" s="5"/>
      <c r="T270" s="5"/>
    </row>
    <row r="271" spans="1:20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R271" s="5"/>
      <c r="S271" s="5"/>
      <c r="T271" s="5"/>
    </row>
    <row r="272" spans="1:20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R272" s="5"/>
      <c r="S272" s="5"/>
      <c r="T272" s="5"/>
    </row>
    <row r="273" spans="1:20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R273" s="5"/>
      <c r="S273" s="5"/>
      <c r="T273" s="5"/>
    </row>
    <row r="274" spans="1:20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R274" s="5"/>
      <c r="S274" s="5"/>
      <c r="T274" s="5"/>
    </row>
    <row r="275" spans="1:20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R275" s="5"/>
      <c r="S275" s="5"/>
      <c r="T275" s="5"/>
    </row>
    <row r="276" spans="1:20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R276" s="5"/>
      <c r="S276" s="5"/>
      <c r="T276" s="5"/>
    </row>
    <row r="277" spans="1:20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R277" s="5"/>
      <c r="S277" s="5"/>
      <c r="T277" s="5"/>
    </row>
    <row r="278" spans="1:20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R278" s="5"/>
      <c r="S278" s="5"/>
      <c r="T278" s="5"/>
    </row>
    <row r="279" spans="1:20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R279" s="5"/>
      <c r="S279" s="5"/>
      <c r="T279" s="5"/>
    </row>
    <row r="280" spans="1:20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R280" s="5"/>
      <c r="S280" s="5"/>
      <c r="T280" s="5"/>
    </row>
    <row r="281" spans="1:20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R281" s="5"/>
      <c r="S281" s="5"/>
      <c r="T281" s="5"/>
    </row>
    <row r="282" spans="1:20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R282" s="5"/>
      <c r="S282" s="5"/>
      <c r="T282" s="5"/>
    </row>
    <row r="283" spans="1:20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R283" s="5"/>
      <c r="S283" s="5"/>
      <c r="T283" s="5"/>
    </row>
    <row r="284" spans="1:20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R284" s="5"/>
      <c r="S284" s="5"/>
      <c r="T284" s="5"/>
    </row>
    <row r="285" spans="1:20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R285" s="5"/>
      <c r="S285" s="5"/>
      <c r="T285" s="5"/>
    </row>
    <row r="286" spans="1:20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R286" s="5"/>
      <c r="S286" s="5"/>
      <c r="T286" s="5"/>
    </row>
    <row r="287" spans="1:20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R287" s="5"/>
      <c r="S287" s="5"/>
      <c r="T287" s="5"/>
    </row>
    <row r="288" spans="1:20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R288" s="5"/>
      <c r="S288" s="5"/>
      <c r="T288" s="5"/>
    </row>
    <row r="289" spans="1:20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R289" s="5"/>
      <c r="S289" s="5"/>
      <c r="T289" s="5"/>
    </row>
    <row r="290" spans="1:20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R290" s="5"/>
      <c r="S290" s="5"/>
      <c r="T290" s="5"/>
    </row>
    <row r="291" spans="1:20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R291" s="5"/>
      <c r="S291" s="5"/>
      <c r="T291" s="5"/>
    </row>
    <row r="292" spans="1:20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R292" s="5"/>
      <c r="S292" s="5"/>
      <c r="T292" s="5"/>
    </row>
    <row r="293" spans="1:20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R293" s="5"/>
      <c r="S293" s="5"/>
      <c r="T293" s="5"/>
    </row>
    <row r="294" spans="1:20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R294" s="5"/>
      <c r="S294" s="5"/>
      <c r="T294" s="5"/>
    </row>
    <row r="295" spans="1:20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R295" s="5"/>
      <c r="S295" s="5"/>
      <c r="T295" s="5"/>
    </row>
    <row r="296" spans="1:20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R296" s="5"/>
      <c r="S296" s="5"/>
      <c r="T296" s="5"/>
    </row>
    <row r="297" spans="1:20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R297" s="5"/>
      <c r="S297" s="5"/>
      <c r="T297" s="5"/>
    </row>
    <row r="298" spans="1:20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R298" s="5"/>
      <c r="S298" s="5"/>
      <c r="T298" s="5"/>
    </row>
    <row r="299" spans="1:20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R299" s="5"/>
      <c r="S299" s="5"/>
      <c r="T299" s="5"/>
    </row>
    <row r="300" spans="1:20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R300" s="5"/>
      <c r="S300" s="5"/>
      <c r="T300" s="5"/>
    </row>
    <row r="301" spans="1:20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R301" s="5"/>
      <c r="S301" s="5"/>
      <c r="T301" s="5"/>
    </row>
    <row r="302" spans="1:20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R302" s="5"/>
      <c r="S302" s="5"/>
      <c r="T302" s="5"/>
    </row>
    <row r="303" spans="1:20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R303" s="5"/>
      <c r="S303" s="5"/>
      <c r="T303" s="5"/>
    </row>
    <row r="304" spans="1:20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R304" s="5"/>
      <c r="S304" s="5"/>
      <c r="T304" s="5"/>
    </row>
    <row r="305" spans="1:20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R305" s="5"/>
      <c r="S305" s="5"/>
      <c r="T305" s="5"/>
    </row>
    <row r="306" spans="1:20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R306" s="5"/>
      <c r="S306" s="5"/>
      <c r="T306" s="5"/>
    </row>
    <row r="307" spans="1:20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R307" s="5"/>
      <c r="S307" s="5"/>
      <c r="T307" s="5"/>
    </row>
    <row r="308" spans="1:20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R308" s="5"/>
      <c r="S308" s="5"/>
      <c r="T308" s="5"/>
    </row>
    <row r="309" spans="1:20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R309" s="5"/>
      <c r="S309" s="5"/>
      <c r="T309" s="5"/>
    </row>
    <row r="310" spans="1:20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R310" s="5"/>
      <c r="S310" s="5"/>
      <c r="T310" s="5"/>
    </row>
    <row r="311" spans="1:20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R311" s="5"/>
      <c r="S311" s="5"/>
      <c r="T311" s="5"/>
    </row>
    <row r="312" spans="1:20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R312" s="5"/>
      <c r="S312" s="5"/>
      <c r="T312" s="5"/>
    </row>
    <row r="313" spans="1:20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R313" s="5"/>
      <c r="S313" s="5"/>
      <c r="T313" s="5"/>
    </row>
    <row r="314" spans="1:20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R314" s="5"/>
      <c r="S314" s="5"/>
      <c r="T314" s="5"/>
    </row>
    <row r="315" spans="1:20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R315" s="5"/>
      <c r="S315" s="5"/>
      <c r="T315" s="5"/>
    </row>
    <row r="316" spans="1:20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R316" s="5"/>
      <c r="S316" s="5"/>
      <c r="T316" s="5"/>
    </row>
    <row r="317" spans="1:20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R317" s="5"/>
      <c r="S317" s="5"/>
      <c r="T317" s="5"/>
    </row>
    <row r="318" spans="1:20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R318" s="5"/>
      <c r="S318" s="5"/>
      <c r="T318" s="5"/>
    </row>
    <row r="319" spans="1:20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R319" s="5"/>
      <c r="S319" s="5"/>
      <c r="T319" s="5"/>
    </row>
    <row r="320" spans="1:20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R320" s="5"/>
      <c r="S320" s="5"/>
      <c r="T320" s="5"/>
    </row>
    <row r="321" spans="1:20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R321" s="5"/>
      <c r="S321" s="5"/>
      <c r="T321" s="5"/>
    </row>
    <row r="322" spans="1:20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R322" s="5"/>
      <c r="S322" s="5"/>
      <c r="T322" s="5"/>
    </row>
    <row r="323" spans="1:20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R323" s="5"/>
      <c r="S323" s="5"/>
      <c r="T323" s="5"/>
    </row>
    <row r="324" spans="1:20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R324" s="5"/>
      <c r="S324" s="5"/>
      <c r="T324" s="5"/>
    </row>
    <row r="325" spans="1:20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R325" s="5"/>
      <c r="S325" s="5"/>
      <c r="T325" s="5"/>
    </row>
    <row r="326" spans="1:20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R326" s="5"/>
      <c r="S326" s="5"/>
      <c r="T326" s="5"/>
    </row>
    <row r="327" spans="1:20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R327" s="5"/>
      <c r="S327" s="5"/>
      <c r="T327" s="5"/>
    </row>
    <row r="328" spans="1:20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R328" s="5"/>
      <c r="S328" s="5"/>
      <c r="T328" s="5"/>
    </row>
    <row r="329" spans="1:20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R329" s="5"/>
      <c r="S329" s="5"/>
      <c r="T329" s="5"/>
    </row>
    <row r="330" spans="1:20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R330" s="5"/>
      <c r="S330" s="5"/>
      <c r="T330" s="5"/>
    </row>
    <row r="331" spans="1:20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R331" s="5"/>
      <c r="S331" s="5"/>
      <c r="T331" s="5"/>
    </row>
    <row r="332" spans="1:20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R332" s="5"/>
      <c r="S332" s="5"/>
      <c r="T332" s="5"/>
    </row>
    <row r="333" spans="1:20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R333" s="5"/>
      <c r="S333" s="5"/>
      <c r="T333" s="5"/>
    </row>
    <row r="334" spans="1:20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R334" s="5"/>
      <c r="S334" s="5"/>
      <c r="T334" s="5"/>
    </row>
    <row r="335" spans="1:20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R335" s="5"/>
      <c r="S335" s="5"/>
      <c r="T335" s="5"/>
    </row>
    <row r="336" spans="1:20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R336" s="5"/>
      <c r="S336" s="5"/>
      <c r="T336" s="5"/>
    </row>
    <row r="337" spans="1:20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R337" s="5"/>
      <c r="S337" s="5"/>
      <c r="T337" s="5"/>
    </row>
    <row r="338" spans="1:20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R338" s="5"/>
      <c r="S338" s="5"/>
      <c r="T338" s="5"/>
    </row>
    <row r="339" spans="1:20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R339" s="5"/>
      <c r="S339" s="5"/>
      <c r="T339" s="5"/>
    </row>
    <row r="340" spans="1:20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R340" s="5"/>
      <c r="S340" s="5"/>
      <c r="T340" s="5"/>
    </row>
    <row r="341" spans="1:20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R341" s="5"/>
      <c r="S341" s="5"/>
      <c r="T341" s="5"/>
    </row>
    <row r="342" spans="1:20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R342" s="5"/>
      <c r="S342" s="5"/>
      <c r="T342" s="5"/>
    </row>
    <row r="343" spans="1:20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R343" s="5"/>
      <c r="S343" s="5"/>
      <c r="T343" s="5"/>
    </row>
    <row r="344" spans="1:20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R344" s="5"/>
      <c r="S344" s="5"/>
      <c r="T344" s="5"/>
    </row>
    <row r="345" spans="1:20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R345" s="5"/>
      <c r="S345" s="5"/>
      <c r="T345" s="5"/>
    </row>
    <row r="346" spans="1:20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R346" s="5"/>
      <c r="S346" s="5"/>
      <c r="T346" s="5"/>
    </row>
    <row r="347" spans="1:20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R347" s="5"/>
      <c r="S347" s="5"/>
      <c r="T347" s="5"/>
    </row>
    <row r="348" spans="1:20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R348" s="5"/>
      <c r="S348" s="5"/>
      <c r="T348" s="5"/>
    </row>
    <row r="349" spans="1:20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R349" s="5"/>
      <c r="S349" s="5"/>
      <c r="T349" s="5"/>
    </row>
    <row r="350" spans="1:20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R350" s="5"/>
      <c r="S350" s="5"/>
      <c r="T350" s="5"/>
    </row>
    <row r="351" spans="1:20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R351" s="5"/>
      <c r="S351" s="5"/>
      <c r="T351" s="5"/>
    </row>
    <row r="352" spans="1:20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R352" s="5"/>
      <c r="S352" s="5"/>
      <c r="T352" s="5"/>
    </row>
    <row r="353" spans="1:20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R353" s="5"/>
      <c r="S353" s="5"/>
      <c r="T353" s="5"/>
    </row>
    <row r="354" spans="1:20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R354" s="5"/>
      <c r="S354" s="5"/>
      <c r="T354" s="5"/>
    </row>
    <row r="355" spans="1:20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R355" s="5"/>
      <c r="S355" s="5"/>
      <c r="T355" s="5"/>
    </row>
    <row r="356" spans="1:20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R356" s="5"/>
      <c r="S356" s="5"/>
      <c r="T356" s="5"/>
    </row>
    <row r="357" spans="1:20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R357" s="5"/>
      <c r="S357" s="5"/>
      <c r="T357" s="5"/>
    </row>
    <row r="358" spans="1:20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R358" s="5"/>
      <c r="S358" s="5"/>
      <c r="T358" s="5"/>
    </row>
    <row r="359" spans="1:20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R359" s="5"/>
      <c r="S359" s="5"/>
      <c r="T359" s="5"/>
    </row>
    <row r="360" spans="1:20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R360" s="5"/>
      <c r="S360" s="5"/>
      <c r="T360" s="5"/>
    </row>
    <row r="361" spans="1:20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R361" s="5"/>
      <c r="S361" s="5"/>
      <c r="T361" s="5"/>
    </row>
    <row r="362" spans="1:20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R362" s="5"/>
      <c r="S362" s="5"/>
      <c r="T362" s="5"/>
    </row>
    <row r="363" spans="1:20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R363" s="5"/>
      <c r="S363" s="5"/>
      <c r="T363" s="5"/>
    </row>
    <row r="364" spans="1:20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R364" s="5"/>
      <c r="S364" s="5"/>
      <c r="T364" s="5"/>
    </row>
    <row r="365" spans="1:20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R365" s="5"/>
      <c r="S365" s="5"/>
      <c r="T365" s="5"/>
    </row>
    <row r="366" spans="1:20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R366" s="5"/>
      <c r="S366" s="5"/>
      <c r="T366" s="5"/>
    </row>
    <row r="367" spans="1:20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R367" s="5"/>
      <c r="S367" s="5"/>
      <c r="T367" s="5"/>
    </row>
    <row r="368" spans="1:20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R368" s="5"/>
      <c r="S368" s="5"/>
      <c r="T368" s="5"/>
    </row>
    <row r="369" spans="1:20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R369" s="5"/>
      <c r="S369" s="5"/>
      <c r="T369" s="5"/>
    </row>
    <row r="370" spans="1:20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R370" s="5"/>
      <c r="S370" s="5"/>
      <c r="T370" s="5"/>
    </row>
    <row r="371" spans="1:20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R371" s="5"/>
      <c r="S371" s="5"/>
      <c r="T371" s="5"/>
    </row>
    <row r="372" spans="1:20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R372" s="5"/>
      <c r="S372" s="5"/>
      <c r="T372" s="5"/>
    </row>
    <row r="373" spans="1:20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R373" s="5"/>
      <c r="S373" s="5"/>
      <c r="T373" s="5"/>
    </row>
    <row r="374" spans="1:20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R374" s="5"/>
      <c r="S374" s="5"/>
      <c r="T374" s="5"/>
    </row>
    <row r="375" spans="1:20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R375" s="5"/>
      <c r="S375" s="5"/>
      <c r="T375" s="5"/>
    </row>
    <row r="376" spans="1:20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R376" s="5"/>
      <c r="S376" s="5"/>
      <c r="T376" s="5"/>
    </row>
    <row r="377" spans="1:20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R377" s="5"/>
      <c r="S377" s="5"/>
      <c r="T377" s="5"/>
    </row>
    <row r="378" spans="1:20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R378" s="5"/>
      <c r="S378" s="5"/>
      <c r="T378" s="5"/>
    </row>
    <row r="379" spans="1:20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R379" s="5"/>
      <c r="S379" s="5"/>
      <c r="T379" s="5"/>
    </row>
    <row r="380" spans="1:20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R380" s="5"/>
      <c r="S380" s="5"/>
      <c r="T380" s="5"/>
    </row>
    <row r="381" spans="1:20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R381" s="5"/>
      <c r="S381" s="5"/>
      <c r="T381" s="5"/>
    </row>
    <row r="382" spans="1:20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R382" s="5"/>
      <c r="S382" s="5"/>
      <c r="T382" s="5"/>
    </row>
    <row r="383" spans="1:20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R383" s="5"/>
      <c r="S383" s="5"/>
      <c r="T383" s="5"/>
    </row>
    <row r="384" spans="1:20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R384" s="5"/>
      <c r="S384" s="5"/>
      <c r="T384" s="5"/>
    </row>
    <row r="385" spans="1:20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R385" s="5"/>
      <c r="S385" s="5"/>
      <c r="T385" s="5"/>
    </row>
    <row r="386" spans="1:20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R386" s="5"/>
      <c r="S386" s="5"/>
      <c r="T386" s="5"/>
    </row>
    <row r="387" spans="1:20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R387" s="5"/>
      <c r="S387" s="5"/>
      <c r="T387" s="5"/>
    </row>
    <row r="388" spans="1:20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R388" s="5"/>
      <c r="S388" s="5"/>
      <c r="T388" s="5"/>
    </row>
    <row r="389" spans="1:20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R389" s="5"/>
      <c r="S389" s="5"/>
      <c r="T389" s="5"/>
    </row>
    <row r="390" spans="1:20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R390" s="5"/>
      <c r="S390" s="5"/>
      <c r="T390" s="5"/>
    </row>
    <row r="391" spans="1:20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R391" s="5"/>
      <c r="S391" s="5"/>
      <c r="T391" s="5"/>
    </row>
    <row r="392" spans="1:20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R392" s="5"/>
      <c r="S392" s="5"/>
      <c r="T392" s="5"/>
    </row>
    <row r="393" spans="1:20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R393" s="5"/>
      <c r="S393" s="5"/>
      <c r="T393" s="5"/>
    </row>
    <row r="394" spans="1:20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R394" s="5"/>
      <c r="S394" s="5"/>
      <c r="T394" s="5"/>
    </row>
    <row r="395" spans="1:20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R395" s="5"/>
      <c r="S395" s="5"/>
      <c r="T395" s="5"/>
    </row>
    <row r="396" spans="1:20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R396" s="5"/>
      <c r="S396" s="5"/>
      <c r="T396" s="5"/>
    </row>
    <row r="397" spans="1:20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R397" s="5"/>
      <c r="S397" s="5"/>
      <c r="T397" s="5"/>
    </row>
    <row r="398" spans="1:20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R398" s="5"/>
      <c r="S398" s="5"/>
      <c r="T398" s="5"/>
    </row>
    <row r="399" spans="1:20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R399" s="5"/>
      <c r="S399" s="5"/>
      <c r="T399" s="5"/>
    </row>
    <row r="400" spans="1:20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R400" s="5"/>
      <c r="S400" s="5"/>
      <c r="T400" s="5"/>
    </row>
    <row r="401" spans="1:20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R401" s="5"/>
      <c r="S401" s="5"/>
      <c r="T401" s="5"/>
    </row>
    <row r="402" spans="1:20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R402" s="5"/>
      <c r="S402" s="5"/>
      <c r="T402" s="5"/>
    </row>
    <row r="403" spans="1:20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R403" s="5"/>
      <c r="S403" s="5"/>
      <c r="T403" s="5"/>
    </row>
    <row r="404" spans="1:20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R404" s="5"/>
      <c r="S404" s="5"/>
      <c r="T404" s="5"/>
    </row>
    <row r="405" spans="1:20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R405" s="5"/>
      <c r="S405" s="5"/>
      <c r="T405" s="5"/>
    </row>
    <row r="406" spans="1:20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R406" s="5"/>
      <c r="S406" s="5"/>
      <c r="T406" s="5"/>
    </row>
    <row r="407" spans="1:20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R407" s="5"/>
      <c r="S407" s="5"/>
      <c r="T407" s="5"/>
    </row>
    <row r="408" spans="1:20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R408" s="5"/>
      <c r="S408" s="5"/>
      <c r="T408" s="5"/>
    </row>
    <row r="409" spans="1:20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R409" s="5"/>
      <c r="S409" s="5"/>
      <c r="T409" s="5"/>
    </row>
    <row r="410" spans="1:20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R410" s="5"/>
      <c r="S410" s="5"/>
      <c r="T410" s="5"/>
    </row>
    <row r="411" spans="1:20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R411" s="5"/>
      <c r="S411" s="5"/>
      <c r="T411" s="5"/>
    </row>
    <row r="412" spans="1:20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R412" s="5"/>
      <c r="S412" s="5"/>
      <c r="T412" s="5"/>
    </row>
    <row r="413" spans="1:20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R413" s="5"/>
      <c r="S413" s="5"/>
      <c r="T413" s="5"/>
    </row>
    <row r="414" spans="1:20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R414" s="5"/>
      <c r="S414" s="5"/>
      <c r="T414" s="5"/>
    </row>
    <row r="415" spans="1:20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R415" s="5"/>
      <c r="S415" s="5"/>
      <c r="T415" s="5"/>
    </row>
    <row r="416" spans="1:20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R416" s="5"/>
      <c r="S416" s="5"/>
      <c r="T416" s="5"/>
    </row>
    <row r="417" spans="1:20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R417" s="5"/>
      <c r="S417" s="5"/>
      <c r="T417" s="5"/>
    </row>
    <row r="418" spans="1:20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R418" s="5"/>
      <c r="S418" s="5"/>
      <c r="T418" s="5"/>
    </row>
    <row r="419" spans="1:20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R419" s="5"/>
      <c r="S419" s="5"/>
      <c r="T419" s="5"/>
    </row>
    <row r="420" spans="1:20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R420" s="5"/>
      <c r="S420" s="5"/>
      <c r="T420" s="5"/>
    </row>
    <row r="421" spans="1:20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R421" s="5"/>
      <c r="S421" s="5"/>
      <c r="T421" s="5"/>
    </row>
    <row r="422" spans="1:20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R422" s="5"/>
      <c r="S422" s="5"/>
      <c r="T422" s="5"/>
    </row>
    <row r="423" spans="1:20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R423" s="5"/>
      <c r="S423" s="5"/>
      <c r="T423" s="5"/>
    </row>
    <row r="424" spans="1:20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R424" s="5"/>
      <c r="S424" s="5"/>
      <c r="T424" s="5"/>
    </row>
    <row r="425" spans="1:20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R425" s="5"/>
      <c r="S425" s="5"/>
      <c r="T425" s="5"/>
    </row>
    <row r="426" spans="1:20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R426" s="5"/>
      <c r="S426" s="5"/>
      <c r="T426" s="5"/>
    </row>
    <row r="427" spans="1:20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R427" s="5"/>
      <c r="S427" s="5"/>
      <c r="T427" s="5"/>
    </row>
    <row r="428" spans="1:20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R428" s="5"/>
      <c r="S428" s="5"/>
      <c r="T428" s="5"/>
    </row>
    <row r="429" spans="1:20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R429" s="5"/>
      <c r="S429" s="5"/>
      <c r="T429" s="5"/>
    </row>
    <row r="430" spans="1:20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R430" s="5"/>
      <c r="S430" s="5"/>
      <c r="T430" s="5"/>
    </row>
    <row r="431" spans="1:20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R431" s="5"/>
      <c r="S431" s="5"/>
      <c r="T431" s="5"/>
    </row>
    <row r="432" spans="1:20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R432" s="5"/>
      <c r="S432" s="5"/>
      <c r="T432" s="5"/>
    </row>
    <row r="433" spans="1:20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R433" s="5"/>
      <c r="S433" s="5"/>
      <c r="T433" s="5"/>
    </row>
    <row r="434" spans="1:20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R434" s="5"/>
      <c r="S434" s="5"/>
      <c r="T434" s="5"/>
    </row>
    <row r="435" spans="1:20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R435" s="5"/>
      <c r="S435" s="5"/>
      <c r="T435" s="5"/>
    </row>
    <row r="436" spans="1:20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R436" s="5"/>
      <c r="S436" s="5"/>
      <c r="T436" s="5"/>
    </row>
    <row r="437" spans="1:20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R437" s="5"/>
      <c r="S437" s="5"/>
      <c r="T437" s="5"/>
    </row>
    <row r="438" spans="1:20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R438" s="5"/>
      <c r="S438" s="5"/>
      <c r="T438" s="5"/>
    </row>
    <row r="439" spans="1:20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R439" s="5"/>
      <c r="S439" s="5"/>
      <c r="T439" s="5"/>
    </row>
    <row r="440" spans="1:20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R440" s="5"/>
      <c r="S440" s="5"/>
      <c r="T440" s="5"/>
    </row>
    <row r="441" spans="1:20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R441" s="5"/>
      <c r="S441" s="5"/>
      <c r="T441" s="5"/>
    </row>
    <row r="442" spans="1:20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R442" s="5"/>
      <c r="S442" s="5"/>
      <c r="T442" s="5"/>
    </row>
    <row r="443" spans="1:20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R443" s="5"/>
      <c r="S443" s="5"/>
      <c r="T443" s="5"/>
    </row>
    <row r="444" spans="1:20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R444" s="5"/>
      <c r="S444" s="5"/>
      <c r="T444" s="5"/>
    </row>
    <row r="445" spans="1:20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R445" s="5"/>
      <c r="S445" s="5"/>
      <c r="T445" s="5"/>
    </row>
    <row r="446" spans="1:20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R446" s="5"/>
      <c r="S446" s="5"/>
      <c r="T446" s="5"/>
    </row>
    <row r="447" spans="1:20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R447" s="5"/>
      <c r="S447" s="5"/>
      <c r="T447" s="5"/>
    </row>
    <row r="448" spans="1:20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R448" s="5"/>
      <c r="S448" s="5"/>
      <c r="T448" s="5"/>
    </row>
    <row r="449" spans="1:20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R449" s="5"/>
      <c r="S449" s="5"/>
      <c r="T449" s="5"/>
    </row>
    <row r="450" spans="1:20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R450" s="5"/>
      <c r="S450" s="5"/>
      <c r="T450" s="5"/>
    </row>
    <row r="451" spans="1:20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R451" s="5"/>
      <c r="S451" s="5"/>
      <c r="T451" s="5"/>
    </row>
    <row r="452" spans="1:20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R452" s="5"/>
      <c r="S452" s="5"/>
      <c r="T452" s="5"/>
    </row>
    <row r="453" spans="1:20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R453" s="5"/>
      <c r="S453" s="5"/>
      <c r="T453" s="5"/>
    </row>
    <row r="454" spans="1:20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R454" s="5"/>
      <c r="S454" s="5"/>
      <c r="T454" s="5"/>
    </row>
    <row r="455" spans="1:20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R455" s="5"/>
      <c r="S455" s="5"/>
      <c r="T455" s="5"/>
    </row>
    <row r="456" spans="1:20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R456" s="5"/>
      <c r="S456" s="5"/>
      <c r="T456" s="5"/>
    </row>
    <row r="457" spans="1:20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R457" s="5"/>
      <c r="S457" s="5"/>
      <c r="T457" s="5"/>
    </row>
    <row r="458" spans="1:20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R458" s="5"/>
      <c r="S458" s="5"/>
      <c r="T458" s="5"/>
    </row>
    <row r="459" spans="1:20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R459" s="5"/>
      <c r="S459" s="5"/>
      <c r="T459" s="5"/>
    </row>
    <row r="460" spans="1:20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R460" s="5"/>
      <c r="S460" s="5"/>
      <c r="T460" s="5"/>
    </row>
    <row r="461" spans="1:20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R461" s="5"/>
      <c r="S461" s="5"/>
      <c r="T461" s="5"/>
    </row>
    <row r="462" spans="1:20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R462" s="5"/>
      <c r="S462" s="5"/>
      <c r="T462" s="5"/>
    </row>
    <row r="463" spans="1:20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R463" s="5"/>
      <c r="S463" s="5"/>
      <c r="T463" s="5"/>
    </row>
    <row r="464" spans="1:20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R464" s="5"/>
      <c r="S464" s="5"/>
      <c r="T464" s="5"/>
    </row>
    <row r="465" spans="1:20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R465" s="5"/>
      <c r="S465" s="5"/>
      <c r="T465" s="5"/>
    </row>
    <row r="466" spans="1:20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R466" s="5"/>
      <c r="S466" s="5"/>
      <c r="T466" s="5"/>
    </row>
    <row r="467" spans="1:20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R467" s="5"/>
      <c r="S467" s="5"/>
      <c r="T467" s="5"/>
    </row>
    <row r="468" spans="1:20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R468" s="5"/>
      <c r="S468" s="5"/>
      <c r="T468" s="5"/>
    </row>
    <row r="469" spans="1:20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R469" s="5"/>
      <c r="S469" s="5"/>
      <c r="T469" s="5"/>
    </row>
    <row r="470" spans="1:20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R470" s="5"/>
      <c r="S470" s="5"/>
      <c r="T470" s="5"/>
    </row>
    <row r="471" spans="1:20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R471" s="5"/>
      <c r="S471" s="5"/>
      <c r="T471" s="5"/>
    </row>
    <row r="472" spans="1:20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R472" s="5"/>
      <c r="S472" s="5"/>
      <c r="T472" s="5"/>
    </row>
    <row r="473" spans="1:20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R473" s="5"/>
      <c r="S473" s="5"/>
      <c r="T473" s="5"/>
    </row>
    <row r="474" spans="1:20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R474" s="5"/>
      <c r="S474" s="5"/>
      <c r="T474" s="5"/>
    </row>
    <row r="475" spans="1:20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R475" s="5"/>
      <c r="S475" s="5"/>
      <c r="T475" s="5"/>
    </row>
    <row r="476" spans="1:20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R476" s="5"/>
      <c r="S476" s="5"/>
      <c r="T476" s="5"/>
    </row>
    <row r="477" spans="1:20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R477" s="5"/>
      <c r="S477" s="5"/>
      <c r="T477" s="5"/>
    </row>
    <row r="478" spans="1:20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R478" s="5"/>
      <c r="S478" s="5"/>
      <c r="T478" s="5"/>
    </row>
    <row r="479" spans="1:20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R479" s="5"/>
      <c r="S479" s="5"/>
      <c r="T479" s="5"/>
    </row>
    <row r="480" spans="1:20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R480" s="5"/>
      <c r="S480" s="5"/>
      <c r="T480" s="5"/>
    </row>
    <row r="481" spans="1:20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R481" s="5"/>
      <c r="S481" s="5"/>
      <c r="T481" s="5"/>
    </row>
    <row r="482" spans="1:20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R482" s="5"/>
      <c r="S482" s="5"/>
      <c r="T482" s="5"/>
    </row>
    <row r="483" spans="1:20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R483" s="5"/>
      <c r="S483" s="5"/>
      <c r="T483" s="5"/>
    </row>
    <row r="484" spans="1:20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R484" s="5"/>
      <c r="S484" s="5"/>
      <c r="T484" s="5"/>
    </row>
    <row r="485" spans="1:20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R485" s="5"/>
      <c r="S485" s="5"/>
      <c r="T485" s="5"/>
    </row>
    <row r="486" spans="1:20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R486" s="5"/>
      <c r="S486" s="5"/>
      <c r="T486" s="5"/>
    </row>
    <row r="487" spans="1:20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R487" s="5"/>
      <c r="S487" s="5"/>
      <c r="T487" s="5"/>
    </row>
    <row r="488" spans="1:20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R488" s="5"/>
      <c r="S488" s="5"/>
      <c r="T488" s="5"/>
    </row>
    <row r="489" spans="1:20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R489" s="5"/>
      <c r="S489" s="5"/>
      <c r="T489" s="5"/>
    </row>
    <row r="490" spans="1:20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R490" s="5"/>
      <c r="S490" s="5"/>
      <c r="T490" s="5"/>
    </row>
    <row r="491" spans="1:20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R491" s="5"/>
      <c r="S491" s="5"/>
      <c r="T491" s="5"/>
    </row>
    <row r="492" spans="1:20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R492" s="5"/>
      <c r="S492" s="5"/>
      <c r="T492" s="5"/>
    </row>
    <row r="493" spans="1:20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R493" s="5"/>
      <c r="S493" s="5"/>
      <c r="T493" s="5"/>
    </row>
    <row r="494" spans="1:20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R494" s="5"/>
      <c r="S494" s="5"/>
      <c r="T494" s="5"/>
    </row>
    <row r="495" spans="1:20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R495" s="5"/>
      <c r="S495" s="5"/>
      <c r="T495" s="5"/>
    </row>
    <row r="496" spans="1:20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R496" s="5"/>
      <c r="S496" s="5"/>
      <c r="T496" s="5"/>
    </row>
    <row r="497" spans="1:20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R497" s="5"/>
      <c r="S497" s="5"/>
      <c r="T497" s="5"/>
    </row>
    <row r="498" spans="1:20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R498" s="5"/>
      <c r="S498" s="5"/>
      <c r="T498" s="5"/>
    </row>
    <row r="499" spans="1:20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R499" s="5"/>
      <c r="S499" s="5"/>
      <c r="T499" s="5"/>
    </row>
    <row r="500" spans="1:20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R500" s="5"/>
      <c r="S500" s="5"/>
      <c r="T500" s="5"/>
    </row>
    <row r="501" spans="1:20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R501" s="5"/>
      <c r="S501" s="5"/>
      <c r="T501" s="5"/>
    </row>
    <row r="502" spans="1:20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R502" s="5"/>
      <c r="S502" s="5"/>
      <c r="T502" s="5"/>
    </row>
    <row r="503" spans="1:20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R503" s="5"/>
      <c r="S503" s="5"/>
      <c r="T503" s="5"/>
    </row>
    <row r="504" spans="1:20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R504" s="5"/>
      <c r="S504" s="5"/>
      <c r="T504" s="5"/>
    </row>
    <row r="505" spans="1:20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R505" s="5"/>
      <c r="S505" s="5"/>
      <c r="T505" s="5"/>
    </row>
    <row r="506" spans="1:20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R506" s="5"/>
      <c r="S506" s="5"/>
      <c r="T506" s="5"/>
    </row>
    <row r="507" spans="1:20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R507" s="5"/>
      <c r="S507" s="5"/>
      <c r="T507" s="5"/>
    </row>
    <row r="508" spans="1:20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R508" s="5"/>
      <c r="S508" s="5"/>
      <c r="T508" s="5"/>
    </row>
    <row r="509" spans="1:20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R509" s="5"/>
      <c r="S509" s="5"/>
      <c r="T509" s="5"/>
    </row>
    <row r="510" spans="1:20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R510" s="5"/>
      <c r="S510" s="5"/>
      <c r="T510" s="5"/>
    </row>
    <row r="511" spans="1:20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R511" s="5"/>
      <c r="S511" s="5"/>
      <c r="T511" s="5"/>
    </row>
    <row r="512" spans="1:20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R512" s="5"/>
      <c r="S512" s="5"/>
      <c r="T512" s="5"/>
    </row>
    <row r="513" spans="1:20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R513" s="5"/>
      <c r="S513" s="5"/>
      <c r="T513" s="5"/>
    </row>
    <row r="514" spans="1:20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R514" s="5"/>
      <c r="S514" s="5"/>
      <c r="T514" s="5"/>
    </row>
    <row r="515" spans="1:20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R515" s="5"/>
      <c r="S515" s="5"/>
      <c r="T515" s="5"/>
    </row>
    <row r="516" spans="1:20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R516" s="5"/>
      <c r="S516" s="5"/>
      <c r="T516" s="5"/>
    </row>
    <row r="517" spans="1:20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R517" s="5"/>
      <c r="S517" s="5"/>
      <c r="T517" s="5"/>
    </row>
    <row r="518" spans="1:20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R518" s="5"/>
      <c r="S518" s="5"/>
      <c r="T518" s="5"/>
    </row>
    <row r="519" spans="1:20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R519" s="5"/>
      <c r="S519" s="5"/>
      <c r="T519" s="5"/>
    </row>
    <row r="520" spans="1:20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R520" s="5"/>
      <c r="S520" s="5"/>
      <c r="T520" s="5"/>
    </row>
    <row r="521" spans="1:20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R521" s="5"/>
      <c r="S521" s="5"/>
      <c r="T521" s="5"/>
    </row>
    <row r="522" spans="1:20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R522" s="5"/>
      <c r="S522" s="5"/>
      <c r="T522" s="5"/>
    </row>
    <row r="523" spans="1:20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R523" s="5"/>
      <c r="S523" s="5"/>
      <c r="T523" s="5"/>
    </row>
    <row r="524" spans="1:20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R524" s="5"/>
      <c r="S524" s="5"/>
      <c r="T524" s="5"/>
    </row>
    <row r="525" spans="1:20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R525" s="5"/>
      <c r="S525" s="5"/>
      <c r="T525" s="5"/>
    </row>
    <row r="526" spans="1:20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R526" s="5"/>
      <c r="S526" s="5"/>
      <c r="T526" s="5"/>
    </row>
    <row r="527" spans="1:20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R527" s="5"/>
      <c r="S527" s="5"/>
      <c r="T527" s="5"/>
    </row>
    <row r="528" spans="1:20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R528" s="5"/>
      <c r="S528" s="5"/>
      <c r="T528" s="5"/>
    </row>
    <row r="529" spans="1:20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R529" s="5"/>
      <c r="S529" s="5"/>
      <c r="T529" s="5"/>
    </row>
    <row r="530" spans="1:20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R530" s="5"/>
      <c r="S530" s="5"/>
      <c r="T530" s="5"/>
    </row>
    <row r="531" spans="1:20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R531" s="5"/>
      <c r="S531" s="5"/>
      <c r="T531" s="5"/>
    </row>
    <row r="532" spans="1:20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R532" s="5"/>
      <c r="S532" s="5"/>
      <c r="T532" s="5"/>
    </row>
    <row r="533" spans="1:20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R533" s="5"/>
      <c r="S533" s="5"/>
      <c r="T533" s="5"/>
    </row>
    <row r="534" spans="1:20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R534" s="5"/>
      <c r="S534" s="5"/>
      <c r="T534" s="5"/>
    </row>
    <row r="535" spans="1:20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R535" s="5"/>
      <c r="S535" s="5"/>
      <c r="T535" s="5"/>
    </row>
    <row r="536" spans="1:20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R536" s="5"/>
      <c r="S536" s="5"/>
      <c r="T536" s="5"/>
    </row>
    <row r="537" spans="1:20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R537" s="5"/>
      <c r="S537" s="5"/>
      <c r="T537" s="5"/>
    </row>
    <row r="538" spans="1:20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R538" s="5"/>
      <c r="S538" s="5"/>
      <c r="T538" s="5"/>
    </row>
    <row r="539" spans="1:20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R539" s="5"/>
      <c r="S539" s="5"/>
      <c r="T539" s="5"/>
    </row>
    <row r="540" spans="1:20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R540" s="5"/>
      <c r="S540" s="5"/>
      <c r="T540" s="5"/>
    </row>
    <row r="541" spans="1:20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R541" s="5"/>
      <c r="S541" s="5"/>
      <c r="T541" s="5"/>
    </row>
    <row r="542" spans="1:20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R542" s="5"/>
      <c r="S542" s="5"/>
      <c r="T542" s="5"/>
    </row>
    <row r="543" spans="1:20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R543" s="5"/>
      <c r="S543" s="5"/>
      <c r="T543" s="5"/>
    </row>
    <row r="544" spans="1:20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R544" s="5"/>
      <c r="S544" s="5"/>
      <c r="T544" s="5"/>
    </row>
    <row r="545" spans="1:20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R545" s="5"/>
      <c r="S545" s="5"/>
      <c r="T545" s="5"/>
    </row>
    <row r="546" spans="1:20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R546" s="5"/>
      <c r="S546" s="5"/>
      <c r="T546" s="5"/>
    </row>
    <row r="547" spans="1:20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R547" s="5"/>
      <c r="S547" s="5"/>
      <c r="T547" s="5"/>
    </row>
    <row r="548" spans="1:20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R548" s="5"/>
      <c r="S548" s="5"/>
      <c r="T548" s="5"/>
    </row>
    <row r="549" spans="1:20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R549" s="5"/>
      <c r="S549" s="5"/>
      <c r="T549" s="5"/>
    </row>
    <row r="550" spans="1:20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R550" s="5"/>
      <c r="S550" s="5"/>
      <c r="T550" s="5"/>
    </row>
    <row r="551" spans="1:20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R551" s="5"/>
      <c r="S551" s="5"/>
      <c r="T551" s="5"/>
    </row>
    <row r="552" spans="1:20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R552" s="5"/>
      <c r="S552" s="5"/>
      <c r="T552" s="5"/>
    </row>
    <row r="553" spans="1:20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R553" s="5"/>
      <c r="S553" s="5"/>
      <c r="T553" s="5"/>
    </row>
    <row r="554" spans="1:20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R554" s="5"/>
      <c r="S554" s="5"/>
      <c r="T554" s="5"/>
    </row>
    <row r="555" spans="1:20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R555" s="5"/>
      <c r="S555" s="5"/>
      <c r="T555" s="5"/>
    </row>
    <row r="556" spans="1:20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R556" s="5"/>
      <c r="S556" s="5"/>
      <c r="T556" s="5"/>
    </row>
    <row r="557" spans="1:20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R557" s="5"/>
      <c r="S557" s="5"/>
      <c r="T557" s="5"/>
    </row>
    <row r="558" spans="1:20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R558" s="5"/>
      <c r="S558" s="5"/>
      <c r="T558" s="5"/>
    </row>
    <row r="559" spans="1:20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R559" s="5"/>
      <c r="S559" s="5"/>
      <c r="T559" s="5"/>
    </row>
    <row r="560" spans="1:20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R560" s="5"/>
      <c r="S560" s="5"/>
      <c r="T560" s="5"/>
    </row>
    <row r="561" spans="1:20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R561" s="5"/>
      <c r="S561" s="5"/>
      <c r="T561" s="5"/>
    </row>
    <row r="562" spans="1:20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R562" s="5"/>
      <c r="S562" s="5"/>
      <c r="T562" s="5"/>
    </row>
    <row r="563" spans="1:20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R563" s="5"/>
      <c r="S563" s="5"/>
      <c r="T563" s="5"/>
    </row>
    <row r="564" spans="1:20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R564" s="5"/>
      <c r="S564" s="5"/>
      <c r="T564" s="5"/>
    </row>
    <row r="565" spans="1:20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R565" s="5"/>
      <c r="S565" s="5"/>
      <c r="T565" s="5"/>
    </row>
    <row r="566" spans="1:20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R566" s="5"/>
      <c r="S566" s="5"/>
      <c r="T566" s="5"/>
    </row>
    <row r="567" spans="1:20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R567" s="5"/>
      <c r="S567" s="5"/>
      <c r="T567" s="5"/>
    </row>
    <row r="568" spans="1:20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R568" s="5"/>
      <c r="S568" s="5"/>
      <c r="T568" s="5"/>
    </row>
    <row r="569" spans="1:20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R569" s="5"/>
      <c r="S569" s="5"/>
      <c r="T569" s="5"/>
    </row>
    <row r="570" spans="1:20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R570" s="5"/>
      <c r="S570" s="5"/>
      <c r="T570" s="5"/>
    </row>
    <row r="571" spans="1:20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R571" s="5"/>
      <c r="S571" s="5"/>
      <c r="T571" s="5"/>
    </row>
    <row r="572" spans="1:20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R572" s="5"/>
      <c r="S572" s="5"/>
      <c r="T572" s="5"/>
    </row>
    <row r="573" spans="1:20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R573" s="5"/>
      <c r="S573" s="5"/>
      <c r="T573" s="5"/>
    </row>
    <row r="574" spans="1:20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R574" s="5"/>
      <c r="S574" s="5"/>
      <c r="T574" s="5"/>
    </row>
    <row r="575" spans="1:20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R575" s="5"/>
      <c r="S575" s="5"/>
      <c r="T575" s="5"/>
    </row>
    <row r="576" spans="1:20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R576" s="5"/>
      <c r="S576" s="5"/>
      <c r="T576" s="5"/>
    </row>
    <row r="577" spans="1:20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R577" s="5"/>
      <c r="S577" s="5"/>
      <c r="T577" s="5"/>
    </row>
    <row r="578" spans="1:20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R578" s="5"/>
      <c r="S578" s="5"/>
      <c r="T578" s="5"/>
    </row>
    <row r="579" spans="1:20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R579" s="5"/>
      <c r="S579" s="5"/>
      <c r="T579" s="5"/>
    </row>
    <row r="580" spans="1:20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R580" s="5"/>
      <c r="S580" s="5"/>
      <c r="T580" s="5"/>
    </row>
    <row r="581" spans="1:20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R581" s="5"/>
      <c r="S581" s="5"/>
      <c r="T581" s="5"/>
    </row>
    <row r="582" spans="1:20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R582" s="5"/>
      <c r="S582" s="5"/>
      <c r="T582" s="5"/>
    </row>
    <row r="583" spans="1:20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R583" s="5"/>
      <c r="S583" s="5"/>
      <c r="T583" s="5"/>
    </row>
    <row r="584" spans="1:20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R584" s="5"/>
      <c r="S584" s="5"/>
      <c r="T584" s="5"/>
    </row>
    <row r="585" spans="1:20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R585" s="5"/>
      <c r="S585" s="5"/>
      <c r="T585" s="5"/>
    </row>
    <row r="586" spans="1:20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R586" s="5"/>
      <c r="S586" s="5"/>
      <c r="T586" s="5"/>
    </row>
    <row r="587" spans="1:20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R587" s="5"/>
      <c r="S587" s="5"/>
      <c r="T587" s="5"/>
    </row>
    <row r="588" spans="1:20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R588" s="5"/>
      <c r="S588" s="5"/>
      <c r="T588" s="5"/>
    </row>
    <row r="589" spans="1:20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R589" s="5"/>
      <c r="S589" s="5"/>
      <c r="T589" s="5"/>
    </row>
    <row r="590" spans="1:20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R590" s="5"/>
      <c r="S590" s="5"/>
      <c r="T590" s="5"/>
    </row>
    <row r="591" spans="1:20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R591" s="5"/>
      <c r="S591" s="5"/>
      <c r="T591" s="5"/>
    </row>
    <row r="592" spans="1:20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R592" s="5"/>
      <c r="S592" s="5"/>
      <c r="T592" s="5"/>
    </row>
    <row r="593" spans="1:20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R593" s="5"/>
      <c r="S593" s="5"/>
      <c r="T593" s="5"/>
    </row>
    <row r="594" spans="1:20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R594" s="5"/>
      <c r="S594" s="5"/>
      <c r="T594" s="5"/>
    </row>
    <row r="595" spans="1:20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R595" s="5"/>
      <c r="S595" s="5"/>
      <c r="T595" s="5"/>
    </row>
    <row r="596" spans="1:20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R596" s="5"/>
      <c r="S596" s="5"/>
      <c r="T596" s="5"/>
    </row>
    <row r="597" spans="1:20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R597" s="5"/>
      <c r="S597" s="5"/>
      <c r="T597" s="5"/>
    </row>
    <row r="598" spans="1:20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R598" s="5"/>
      <c r="S598" s="5"/>
      <c r="T598" s="5"/>
    </row>
    <row r="599" spans="1:20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R599" s="5"/>
      <c r="S599" s="5"/>
      <c r="T599" s="5"/>
    </row>
    <row r="600" spans="1:20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R600" s="5"/>
      <c r="S600" s="5"/>
      <c r="T600" s="5"/>
    </row>
    <row r="601" spans="1:20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R601" s="5"/>
      <c r="S601" s="5"/>
      <c r="T601" s="5"/>
    </row>
    <row r="602" spans="1:20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R602" s="5"/>
      <c r="S602" s="5"/>
      <c r="T602" s="5"/>
    </row>
    <row r="603" spans="1:20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R603" s="5"/>
      <c r="S603" s="5"/>
      <c r="T603" s="5"/>
    </row>
    <row r="604" spans="1:20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R604" s="5"/>
      <c r="S604" s="5"/>
      <c r="T604" s="5"/>
    </row>
    <row r="605" spans="1:20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R605" s="5"/>
      <c r="S605" s="5"/>
      <c r="T605" s="5"/>
    </row>
    <row r="606" spans="1:20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R606" s="5"/>
      <c r="S606" s="5"/>
      <c r="T606" s="5"/>
    </row>
    <row r="607" spans="1:20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R607" s="5"/>
      <c r="S607" s="5"/>
      <c r="T607" s="5"/>
    </row>
    <row r="608" spans="1:20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R608" s="5"/>
      <c r="S608" s="5"/>
      <c r="T608" s="5"/>
    </row>
    <row r="609" spans="1:20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R609" s="5"/>
      <c r="S609" s="5"/>
      <c r="T609" s="5"/>
    </row>
    <row r="610" spans="1:20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R610" s="5"/>
      <c r="S610" s="5"/>
      <c r="T610" s="5"/>
    </row>
    <row r="611" spans="1:20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R611" s="5"/>
      <c r="S611" s="5"/>
      <c r="T611" s="5"/>
    </row>
    <row r="612" spans="1:20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R612" s="5"/>
      <c r="S612" s="5"/>
      <c r="T612" s="5"/>
    </row>
    <row r="613" spans="1:20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R613" s="5"/>
      <c r="S613" s="5"/>
      <c r="T613" s="5"/>
    </row>
    <row r="614" spans="1:20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R614" s="5"/>
      <c r="S614" s="5"/>
      <c r="T614" s="5"/>
    </row>
    <row r="615" spans="1:20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R615" s="5"/>
      <c r="S615" s="5"/>
      <c r="T615" s="5"/>
    </row>
    <row r="616" spans="1:20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R616" s="5"/>
      <c r="S616" s="5"/>
      <c r="T616" s="5"/>
    </row>
    <row r="617" spans="1:20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R617" s="5"/>
      <c r="S617" s="5"/>
      <c r="T617" s="5"/>
    </row>
    <row r="618" spans="1:20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R618" s="5"/>
      <c r="S618" s="5"/>
      <c r="T618" s="5"/>
    </row>
    <row r="619" spans="1:20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R619" s="5"/>
      <c r="S619" s="5"/>
      <c r="T619" s="5"/>
    </row>
    <row r="620" spans="1:20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R620" s="5"/>
      <c r="S620" s="5"/>
      <c r="T620" s="5"/>
    </row>
    <row r="621" spans="1:20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R621" s="5"/>
      <c r="S621" s="5"/>
      <c r="T621" s="5"/>
    </row>
    <row r="622" spans="1:20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R622" s="5"/>
      <c r="S622" s="5"/>
      <c r="T622" s="5"/>
    </row>
    <row r="623" spans="1:20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R623" s="5"/>
      <c r="S623" s="5"/>
      <c r="T623" s="5"/>
    </row>
    <row r="624" spans="1:20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R624" s="5"/>
      <c r="S624" s="5"/>
      <c r="T624" s="5"/>
    </row>
    <row r="625" spans="1:20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R625" s="5"/>
      <c r="S625" s="5"/>
      <c r="T625" s="5"/>
    </row>
    <row r="626" spans="1:20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R626" s="5"/>
      <c r="S626" s="5"/>
      <c r="T626" s="5"/>
    </row>
    <row r="627" spans="1:20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R627" s="5"/>
      <c r="S627" s="5"/>
      <c r="T627" s="5"/>
    </row>
    <row r="628" spans="1:20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R628" s="5"/>
      <c r="S628" s="5"/>
      <c r="T628" s="5"/>
    </row>
    <row r="629" spans="1:20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R629" s="5"/>
      <c r="S629" s="5"/>
      <c r="T629" s="5"/>
    </row>
    <row r="630" spans="1:20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R630" s="5"/>
      <c r="S630" s="5"/>
      <c r="T630" s="5"/>
    </row>
    <row r="631" spans="1:20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R631" s="5"/>
      <c r="S631" s="5"/>
      <c r="T631" s="5"/>
    </row>
    <row r="632" spans="1:20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R632" s="5"/>
      <c r="S632" s="5"/>
      <c r="T632" s="5"/>
    </row>
    <row r="633" spans="1:20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R633" s="5"/>
      <c r="S633" s="5"/>
      <c r="T633" s="5"/>
    </row>
    <row r="634" spans="1:20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R634" s="5"/>
      <c r="S634" s="5"/>
      <c r="T634" s="5"/>
    </row>
    <row r="635" spans="1:20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R635" s="5"/>
      <c r="S635" s="5"/>
      <c r="T635" s="5"/>
    </row>
    <row r="636" spans="1:20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R636" s="5"/>
      <c r="S636" s="5"/>
      <c r="T636" s="5"/>
    </row>
    <row r="637" spans="1:20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R637" s="5"/>
      <c r="S637" s="5"/>
      <c r="T637" s="5"/>
    </row>
    <row r="638" spans="1:20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R638" s="5"/>
      <c r="S638" s="5"/>
      <c r="T638" s="5"/>
    </row>
    <row r="639" spans="1:20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R639" s="5"/>
      <c r="S639" s="5"/>
      <c r="T639" s="5"/>
    </row>
    <row r="640" spans="1:20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R640" s="5"/>
      <c r="S640" s="5"/>
      <c r="T640" s="5"/>
    </row>
    <row r="641" spans="1:20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R641" s="5"/>
      <c r="S641" s="5"/>
      <c r="T641" s="5"/>
    </row>
    <row r="642" spans="1:20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R642" s="5"/>
      <c r="S642" s="5"/>
      <c r="T642" s="5"/>
    </row>
    <row r="643" spans="1:20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R643" s="5"/>
      <c r="S643" s="5"/>
      <c r="T643" s="5"/>
    </row>
    <row r="644" spans="1:20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R644" s="5"/>
      <c r="S644" s="5"/>
      <c r="T644" s="5"/>
    </row>
    <row r="645" spans="1:20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R645" s="5"/>
      <c r="S645" s="5"/>
      <c r="T645" s="5"/>
    </row>
    <row r="646" spans="1:20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R646" s="5"/>
      <c r="S646" s="5"/>
      <c r="T646" s="5"/>
    </row>
    <row r="647" spans="1:20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R647" s="5"/>
      <c r="S647" s="5"/>
      <c r="T647" s="5"/>
    </row>
    <row r="648" spans="1:20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R648" s="5"/>
      <c r="S648" s="5"/>
      <c r="T648" s="5"/>
    </row>
    <row r="649" spans="1:20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R649" s="5"/>
      <c r="S649" s="5"/>
      <c r="T649" s="5"/>
    </row>
    <row r="650" spans="1:20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R650" s="5"/>
      <c r="S650" s="5"/>
      <c r="T650" s="5"/>
    </row>
    <row r="651" spans="1:20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R651" s="5"/>
      <c r="S651" s="5"/>
      <c r="T651" s="5"/>
    </row>
    <row r="652" spans="1:20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R652" s="5"/>
      <c r="S652" s="5"/>
      <c r="T652" s="5"/>
    </row>
    <row r="653" spans="1:20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R653" s="5"/>
      <c r="S653" s="5"/>
      <c r="T653" s="5"/>
    </row>
    <row r="654" spans="1:20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R654" s="5"/>
      <c r="S654" s="5"/>
      <c r="T654" s="5"/>
    </row>
    <row r="655" spans="1:20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R655" s="5"/>
      <c r="S655" s="5"/>
      <c r="T655" s="5"/>
    </row>
    <row r="656" spans="1:20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R656" s="5"/>
      <c r="S656" s="5"/>
      <c r="T656" s="5"/>
    </row>
    <row r="657" spans="1:20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R657" s="5"/>
      <c r="S657" s="5"/>
      <c r="T657" s="5"/>
    </row>
    <row r="658" spans="1:20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R658" s="5"/>
      <c r="S658" s="5"/>
      <c r="T658" s="5"/>
    </row>
    <row r="659" spans="1:20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R659" s="5"/>
      <c r="S659" s="5"/>
      <c r="T659" s="5"/>
    </row>
    <row r="660" spans="1:20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R660" s="5"/>
      <c r="S660" s="5"/>
      <c r="T660" s="5"/>
    </row>
    <row r="661" spans="1:20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R661" s="5"/>
      <c r="S661" s="5"/>
      <c r="T661" s="5"/>
    </row>
    <row r="662" spans="1:20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R662" s="5"/>
      <c r="S662" s="5"/>
      <c r="T662" s="5"/>
    </row>
    <row r="663" spans="1:20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R663" s="5"/>
      <c r="S663" s="5"/>
      <c r="T663" s="5"/>
    </row>
    <row r="664" spans="1:20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R664" s="5"/>
      <c r="S664" s="5"/>
      <c r="T664" s="5"/>
    </row>
    <row r="665" spans="1:20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R665" s="5"/>
      <c r="S665" s="5"/>
      <c r="T665" s="5"/>
    </row>
    <row r="666" spans="1:20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R666" s="5"/>
      <c r="S666" s="5"/>
      <c r="T666" s="5"/>
    </row>
    <row r="667" spans="1:20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R667" s="5"/>
      <c r="S667" s="5"/>
      <c r="T667" s="5"/>
    </row>
    <row r="668" spans="1:20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R668" s="5"/>
      <c r="S668" s="5"/>
      <c r="T668" s="5"/>
    </row>
    <row r="669" spans="1:20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R669" s="5"/>
      <c r="S669" s="5"/>
      <c r="T669" s="5"/>
    </row>
    <row r="670" spans="1:20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R670" s="5"/>
      <c r="S670" s="5"/>
      <c r="T670" s="5"/>
    </row>
    <row r="671" spans="1:20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R671" s="5"/>
      <c r="S671" s="5"/>
      <c r="T671" s="5"/>
    </row>
    <row r="672" spans="1:20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R672" s="5"/>
      <c r="S672" s="5"/>
      <c r="T672" s="5"/>
    </row>
    <row r="673" spans="1:20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R673" s="5"/>
      <c r="S673" s="5"/>
      <c r="T673" s="5"/>
    </row>
    <row r="674" spans="1:20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R674" s="5"/>
      <c r="S674" s="5"/>
      <c r="T674" s="5"/>
    </row>
    <row r="675" spans="1:20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R675" s="5"/>
      <c r="S675" s="5"/>
      <c r="T675" s="5"/>
    </row>
    <row r="676" spans="1:20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R676" s="5"/>
      <c r="S676" s="5"/>
      <c r="T676" s="5"/>
    </row>
    <row r="677" spans="1:20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R677" s="5"/>
      <c r="S677" s="5"/>
      <c r="T677" s="5"/>
    </row>
    <row r="678" spans="1:20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R678" s="5"/>
      <c r="S678" s="5"/>
      <c r="T678" s="5"/>
    </row>
    <row r="679" spans="1:20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R679" s="5"/>
      <c r="S679" s="5"/>
      <c r="T679" s="5"/>
    </row>
    <row r="680" spans="1:20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R680" s="5"/>
      <c r="S680" s="5"/>
      <c r="T680" s="5"/>
    </row>
    <row r="681" spans="1:20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R681" s="5"/>
      <c r="S681" s="5"/>
      <c r="T681" s="5"/>
    </row>
    <row r="682" spans="1:20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R682" s="5"/>
      <c r="S682" s="5"/>
      <c r="T682" s="5"/>
    </row>
    <row r="683" spans="1:20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R683" s="5"/>
      <c r="S683" s="5"/>
      <c r="T683" s="5"/>
    </row>
    <row r="684" spans="1:20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R684" s="5"/>
      <c r="S684" s="5"/>
      <c r="T684" s="5"/>
    </row>
    <row r="685" spans="1:20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R685" s="5"/>
      <c r="S685" s="5"/>
      <c r="T685" s="5"/>
    </row>
    <row r="686" spans="1:20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R686" s="5"/>
      <c r="S686" s="5"/>
      <c r="T686" s="5"/>
    </row>
    <row r="687" spans="1:20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R687" s="5"/>
      <c r="S687" s="5"/>
      <c r="T687" s="5"/>
    </row>
    <row r="688" spans="1:20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R688" s="5"/>
      <c r="S688" s="5"/>
      <c r="T688" s="5"/>
    </row>
    <row r="689" spans="1:20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R689" s="5"/>
      <c r="S689" s="5"/>
      <c r="T689" s="5"/>
    </row>
    <row r="690" spans="1:20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R690" s="5"/>
      <c r="S690" s="5"/>
      <c r="T690" s="5"/>
    </row>
    <row r="691" spans="1:20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R691" s="5"/>
      <c r="S691" s="5"/>
      <c r="T691" s="5"/>
    </row>
    <row r="692" spans="1:20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R692" s="5"/>
      <c r="S692" s="5"/>
      <c r="T692" s="5"/>
    </row>
    <row r="693" spans="1:20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R693" s="5"/>
      <c r="S693" s="5"/>
      <c r="T693" s="5"/>
    </row>
    <row r="694" spans="1:20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R694" s="5"/>
      <c r="S694" s="5"/>
      <c r="T694" s="5"/>
    </row>
    <row r="695" spans="1:20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R695" s="5"/>
      <c r="S695" s="5"/>
      <c r="T695" s="5"/>
    </row>
    <row r="696" spans="1:20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R696" s="5"/>
      <c r="S696" s="5"/>
      <c r="T696" s="5"/>
    </row>
    <row r="697" spans="1:20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R697" s="5"/>
      <c r="S697" s="5"/>
      <c r="T697" s="5"/>
    </row>
    <row r="698" spans="1:20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R698" s="5"/>
      <c r="S698" s="5"/>
      <c r="T698" s="5"/>
    </row>
    <row r="699" spans="1:20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R699" s="5"/>
      <c r="S699" s="5"/>
      <c r="T699" s="5"/>
    </row>
    <row r="700" spans="1:20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R700" s="5"/>
      <c r="S700" s="5"/>
      <c r="T700" s="5"/>
    </row>
    <row r="701" spans="1:20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R701" s="5"/>
      <c r="S701" s="5"/>
      <c r="T701" s="5"/>
    </row>
    <row r="702" spans="1:20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R702" s="5"/>
      <c r="S702" s="5"/>
      <c r="T702" s="5"/>
    </row>
    <row r="703" spans="1:20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R703" s="5"/>
      <c r="S703" s="5"/>
      <c r="T703" s="5"/>
    </row>
    <row r="704" spans="1:20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R704" s="5"/>
      <c r="S704" s="5"/>
      <c r="T704" s="5"/>
    </row>
    <row r="705" spans="1:20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R705" s="5"/>
      <c r="S705" s="5"/>
      <c r="T705" s="5"/>
    </row>
    <row r="706" spans="1:20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R706" s="5"/>
      <c r="S706" s="5"/>
      <c r="T706" s="5"/>
    </row>
    <row r="707" spans="1:20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R707" s="5"/>
      <c r="S707" s="5"/>
      <c r="T707" s="5"/>
    </row>
    <row r="708" spans="1:20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R708" s="5"/>
      <c r="S708" s="5"/>
      <c r="T708" s="5"/>
    </row>
    <row r="709" spans="1:20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R709" s="5"/>
      <c r="S709" s="5"/>
      <c r="T709" s="5"/>
    </row>
    <row r="710" spans="1:20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R710" s="5"/>
      <c r="S710" s="5"/>
      <c r="T710" s="5"/>
    </row>
    <row r="711" spans="1:20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R711" s="5"/>
      <c r="S711" s="5"/>
      <c r="T711" s="5"/>
    </row>
    <row r="712" spans="1:20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R712" s="5"/>
      <c r="S712" s="5"/>
      <c r="T712" s="5"/>
    </row>
    <row r="713" spans="1:20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R713" s="5"/>
      <c r="S713" s="5"/>
      <c r="T713" s="5"/>
    </row>
    <row r="714" spans="1:20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R714" s="5"/>
      <c r="S714" s="5"/>
      <c r="T714" s="5"/>
    </row>
    <row r="715" spans="1:20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R715" s="5"/>
      <c r="S715" s="5"/>
      <c r="T715" s="5"/>
    </row>
    <row r="716" spans="1:20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R716" s="5"/>
      <c r="S716" s="5"/>
      <c r="T716" s="5"/>
    </row>
    <row r="717" spans="1:20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R717" s="5"/>
      <c r="S717" s="5"/>
      <c r="T717" s="5"/>
    </row>
    <row r="718" spans="1:20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R718" s="5"/>
      <c r="S718" s="5"/>
      <c r="T718" s="5"/>
    </row>
    <row r="719" spans="1:20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R719" s="5"/>
      <c r="S719" s="5"/>
      <c r="T719" s="5"/>
    </row>
    <row r="720" spans="1:20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R720" s="5"/>
      <c r="S720" s="5"/>
      <c r="T720" s="5"/>
    </row>
    <row r="721" spans="1:20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R721" s="5"/>
      <c r="S721" s="5"/>
      <c r="T721" s="5"/>
    </row>
    <row r="722" spans="1:20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R722" s="5"/>
      <c r="S722" s="5"/>
      <c r="T722" s="5"/>
    </row>
    <row r="723" spans="1:20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R723" s="5"/>
      <c r="S723" s="5"/>
      <c r="T723" s="5"/>
    </row>
    <row r="724" spans="1:20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R724" s="5"/>
      <c r="S724" s="5"/>
      <c r="T724" s="5"/>
    </row>
    <row r="725" spans="1:20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R725" s="5"/>
      <c r="S725" s="5"/>
      <c r="T725" s="5"/>
    </row>
    <row r="726" spans="1:20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R726" s="5"/>
      <c r="S726" s="5"/>
      <c r="T726" s="5"/>
    </row>
    <row r="727" spans="1:20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R727" s="5"/>
      <c r="S727" s="5"/>
      <c r="T727" s="5"/>
    </row>
    <row r="728" spans="1:20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R728" s="5"/>
      <c r="S728" s="5"/>
      <c r="T728" s="5"/>
    </row>
    <row r="729" spans="1:20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R729" s="5"/>
      <c r="S729" s="5"/>
      <c r="T729" s="5"/>
    </row>
    <row r="730" spans="1:20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R730" s="5"/>
      <c r="S730" s="5"/>
      <c r="T730" s="5"/>
    </row>
    <row r="731" spans="1:20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R731" s="5"/>
      <c r="S731" s="5"/>
      <c r="T731" s="5"/>
    </row>
    <row r="732" spans="1:20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R732" s="5"/>
      <c r="S732" s="5"/>
      <c r="T732" s="5"/>
    </row>
    <row r="733" spans="1:20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R733" s="5"/>
      <c r="S733" s="5"/>
      <c r="T733" s="5"/>
    </row>
    <row r="734" spans="1:20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R734" s="5"/>
      <c r="S734" s="5"/>
      <c r="T734" s="5"/>
    </row>
    <row r="735" spans="1:20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R735" s="5"/>
      <c r="S735" s="5"/>
      <c r="T735" s="5"/>
    </row>
    <row r="736" spans="1:20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R736" s="5"/>
      <c r="S736" s="5"/>
      <c r="T736" s="5"/>
    </row>
    <row r="737" spans="1:20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R737" s="5"/>
      <c r="S737" s="5"/>
      <c r="T737" s="5"/>
    </row>
    <row r="738" spans="1:20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R738" s="5"/>
      <c r="S738" s="5"/>
      <c r="T738" s="5"/>
    </row>
    <row r="739" spans="1:20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R739" s="5"/>
      <c r="S739" s="5"/>
      <c r="T739" s="5"/>
    </row>
    <row r="740" spans="1:20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R740" s="5"/>
      <c r="S740" s="5"/>
      <c r="T740" s="5"/>
    </row>
    <row r="741" spans="1:20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R741" s="5"/>
      <c r="S741" s="5"/>
      <c r="T741" s="5"/>
    </row>
    <row r="742" spans="1:20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R742" s="5"/>
      <c r="S742" s="5"/>
      <c r="T742" s="5"/>
    </row>
    <row r="743" spans="1:20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R743" s="5"/>
      <c r="S743" s="5"/>
      <c r="T743" s="5"/>
    </row>
    <row r="744" spans="1:20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R744" s="5"/>
      <c r="S744" s="5"/>
      <c r="T744" s="5"/>
    </row>
    <row r="745" spans="1:20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R745" s="5"/>
      <c r="S745" s="5"/>
      <c r="T745" s="5"/>
    </row>
    <row r="746" spans="1:20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R746" s="5"/>
      <c r="S746" s="5"/>
      <c r="T746" s="5"/>
    </row>
    <row r="747" spans="1:20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R747" s="5"/>
      <c r="S747" s="5"/>
      <c r="T747" s="5"/>
    </row>
    <row r="748" spans="1:20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R748" s="5"/>
      <c r="S748" s="5"/>
      <c r="T748" s="5"/>
    </row>
    <row r="749" spans="1:20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R749" s="5"/>
      <c r="S749" s="5"/>
      <c r="T749" s="5"/>
    </row>
    <row r="750" spans="1:20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R750" s="5"/>
      <c r="S750" s="5"/>
      <c r="T750" s="5"/>
    </row>
    <row r="751" spans="1:20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R751" s="5"/>
      <c r="S751" s="5"/>
      <c r="T751" s="5"/>
    </row>
    <row r="752" spans="1:20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R752" s="5"/>
      <c r="S752" s="5"/>
      <c r="T752" s="5"/>
    </row>
    <row r="753" spans="1:20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R753" s="5"/>
      <c r="S753" s="5"/>
      <c r="T753" s="5"/>
    </row>
    <row r="754" spans="1:20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R754" s="5"/>
      <c r="S754" s="5"/>
      <c r="T754" s="5"/>
    </row>
    <row r="755" spans="1:20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R755" s="5"/>
      <c r="S755" s="5"/>
      <c r="T755" s="5"/>
    </row>
    <row r="756" spans="1:20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R756" s="5"/>
      <c r="S756" s="5"/>
      <c r="T756" s="5"/>
    </row>
    <row r="757" spans="1:20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R757" s="5"/>
      <c r="S757" s="5"/>
      <c r="T757" s="5"/>
    </row>
    <row r="758" spans="1:20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R758" s="5"/>
      <c r="S758" s="5"/>
      <c r="T758" s="5"/>
    </row>
    <row r="759" spans="1:20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R759" s="5"/>
      <c r="S759" s="5"/>
      <c r="T759" s="5"/>
    </row>
    <row r="760" spans="1:20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R760" s="5"/>
      <c r="S760" s="5"/>
      <c r="T760" s="5"/>
    </row>
    <row r="761" spans="1:20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R761" s="5"/>
      <c r="S761" s="5"/>
      <c r="T761" s="5"/>
    </row>
    <row r="762" spans="1:20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R762" s="5"/>
      <c r="S762" s="5"/>
      <c r="T762" s="5"/>
    </row>
    <row r="763" spans="1:20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R763" s="5"/>
      <c r="S763" s="5"/>
      <c r="T763" s="5"/>
    </row>
    <row r="764" spans="1:20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R764" s="5"/>
      <c r="S764" s="5"/>
      <c r="T764" s="5"/>
    </row>
    <row r="765" spans="1:20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R765" s="5"/>
      <c r="S765" s="5"/>
      <c r="T765" s="5"/>
    </row>
    <row r="766" spans="1:20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R766" s="5"/>
      <c r="S766" s="5"/>
      <c r="T766" s="5"/>
    </row>
    <row r="767" spans="1:20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R767" s="5"/>
      <c r="S767" s="5"/>
      <c r="T767" s="5"/>
    </row>
    <row r="768" spans="1:20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R768" s="5"/>
      <c r="S768" s="5"/>
      <c r="T768" s="5"/>
    </row>
    <row r="769" spans="1:20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R769" s="5"/>
      <c r="S769" s="5"/>
      <c r="T769" s="5"/>
    </row>
    <row r="770" spans="1:20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R770" s="5"/>
      <c r="S770" s="5"/>
      <c r="T770" s="5"/>
    </row>
    <row r="771" spans="1:20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R771" s="5"/>
      <c r="S771" s="5"/>
      <c r="T771" s="5"/>
    </row>
    <row r="772" spans="1:20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R772" s="5"/>
      <c r="S772" s="5"/>
      <c r="T772" s="5"/>
    </row>
    <row r="773" spans="1:20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R773" s="5"/>
      <c r="S773" s="5"/>
      <c r="T773" s="5"/>
    </row>
    <row r="774" spans="1:20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R774" s="5"/>
      <c r="S774" s="5"/>
      <c r="T774" s="5"/>
    </row>
    <row r="775" spans="1:20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R775" s="5"/>
      <c r="S775" s="5"/>
      <c r="T775" s="5"/>
    </row>
    <row r="776" spans="1:20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R776" s="5"/>
      <c r="S776" s="5"/>
      <c r="T776" s="5"/>
    </row>
    <row r="777" spans="1:20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R777" s="5"/>
      <c r="S777" s="5"/>
      <c r="T777" s="5"/>
    </row>
    <row r="778" spans="1:20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R778" s="5"/>
      <c r="S778" s="5"/>
      <c r="T778" s="5"/>
    </row>
    <row r="779" spans="1:20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R779" s="5"/>
      <c r="S779" s="5"/>
      <c r="T779" s="5"/>
    </row>
    <row r="780" spans="1:20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R780" s="5"/>
      <c r="S780" s="5"/>
      <c r="T780" s="5"/>
    </row>
    <row r="781" spans="1:20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R781" s="5"/>
      <c r="S781" s="5"/>
      <c r="T781" s="5"/>
    </row>
    <row r="782" spans="1:20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R782" s="5"/>
      <c r="S782" s="5"/>
      <c r="T782" s="5"/>
    </row>
    <row r="783" spans="1:20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R783" s="5"/>
      <c r="S783" s="5"/>
      <c r="T783" s="5"/>
    </row>
    <row r="784" spans="1:20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R784" s="5"/>
      <c r="S784" s="5"/>
      <c r="T784" s="5"/>
    </row>
    <row r="785" spans="1:20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R785" s="5"/>
      <c r="S785" s="5"/>
      <c r="T785" s="5"/>
    </row>
    <row r="786" spans="1:20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R786" s="5"/>
      <c r="S786" s="5"/>
      <c r="T786" s="5"/>
    </row>
    <row r="787" spans="1:20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R787" s="5"/>
      <c r="S787" s="5"/>
      <c r="T787" s="5"/>
    </row>
    <row r="788" spans="1:20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R788" s="5"/>
      <c r="S788" s="5"/>
      <c r="T788" s="5"/>
    </row>
    <row r="789" spans="1:20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R789" s="5"/>
      <c r="S789" s="5"/>
      <c r="T789" s="5"/>
    </row>
    <row r="790" spans="1:20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R790" s="5"/>
      <c r="S790" s="5"/>
      <c r="T790" s="5"/>
    </row>
    <row r="791" spans="1:20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R791" s="5"/>
      <c r="S791" s="5"/>
      <c r="T791" s="5"/>
    </row>
    <row r="792" spans="1:20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R792" s="5"/>
      <c r="S792" s="5"/>
      <c r="T792" s="5"/>
    </row>
    <row r="793" spans="1:20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R793" s="5"/>
      <c r="S793" s="5"/>
      <c r="T793" s="5"/>
    </row>
    <row r="794" spans="1:20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R794" s="5"/>
      <c r="S794" s="5"/>
      <c r="T794" s="5"/>
    </row>
    <row r="795" spans="1:20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R795" s="5"/>
      <c r="S795" s="5"/>
      <c r="T795" s="5"/>
    </row>
    <row r="796" spans="1:20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R796" s="5"/>
      <c r="S796" s="5"/>
      <c r="T796" s="5"/>
    </row>
    <row r="797" spans="1:20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R797" s="5"/>
      <c r="S797" s="5"/>
      <c r="T797" s="5"/>
    </row>
    <row r="798" spans="1:20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R798" s="5"/>
      <c r="S798" s="5"/>
      <c r="T798" s="5"/>
    </row>
    <row r="799" spans="1:20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R799" s="5"/>
      <c r="S799" s="5"/>
      <c r="T799" s="5"/>
    </row>
    <row r="800" spans="1:20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R800" s="5"/>
      <c r="S800" s="5"/>
      <c r="T800" s="5"/>
    </row>
    <row r="801" spans="1:20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R801" s="5"/>
      <c r="S801" s="5"/>
      <c r="T801" s="5"/>
    </row>
    <row r="802" spans="1:20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R802" s="5"/>
      <c r="S802" s="5"/>
      <c r="T802" s="5"/>
    </row>
    <row r="803" spans="1:20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R803" s="5"/>
      <c r="S803" s="5"/>
      <c r="T803" s="5"/>
    </row>
    <row r="804" spans="1:20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R804" s="5"/>
      <c r="S804" s="5"/>
      <c r="T804" s="5"/>
    </row>
    <row r="805" spans="1:20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R805" s="5"/>
      <c r="S805" s="5"/>
      <c r="T805" s="5"/>
    </row>
    <row r="806" spans="1:20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R806" s="5"/>
      <c r="S806" s="5"/>
      <c r="T806" s="5"/>
    </row>
    <row r="807" spans="1:20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R807" s="5"/>
      <c r="S807" s="5"/>
      <c r="T807" s="5"/>
    </row>
    <row r="808" spans="1:20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R808" s="5"/>
      <c r="S808" s="5"/>
      <c r="T808" s="5"/>
    </row>
    <row r="809" spans="1:20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R809" s="5"/>
      <c r="S809" s="5"/>
      <c r="T809" s="5"/>
    </row>
    <row r="810" spans="1:20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R810" s="5"/>
      <c r="S810" s="5"/>
      <c r="T810" s="5"/>
    </row>
    <row r="811" spans="1:20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R811" s="5"/>
      <c r="S811" s="5"/>
      <c r="T811" s="5"/>
    </row>
    <row r="812" spans="1:20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R812" s="5"/>
      <c r="S812" s="5"/>
      <c r="T812" s="5"/>
    </row>
    <row r="813" spans="1:20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R813" s="5"/>
      <c r="S813" s="5"/>
      <c r="T813" s="5"/>
    </row>
    <row r="814" spans="1:20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R814" s="5"/>
      <c r="S814" s="5"/>
      <c r="T814" s="5"/>
    </row>
    <row r="815" spans="1:20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R815" s="5"/>
      <c r="S815" s="5"/>
      <c r="T815" s="5"/>
    </row>
    <row r="816" spans="1:20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R816" s="5"/>
      <c r="S816" s="5"/>
      <c r="T816" s="5"/>
    </row>
    <row r="817" spans="1:20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R817" s="5"/>
      <c r="S817" s="5"/>
      <c r="T817" s="5"/>
    </row>
    <row r="818" spans="1:20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R818" s="5"/>
      <c r="S818" s="5"/>
      <c r="T818" s="5"/>
    </row>
    <row r="819" spans="1:20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R819" s="5"/>
      <c r="S819" s="5"/>
      <c r="T819" s="5"/>
    </row>
    <row r="820" spans="1:20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R820" s="5"/>
      <c r="S820" s="5"/>
      <c r="T820" s="5"/>
    </row>
    <row r="821" spans="1:20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R821" s="5"/>
      <c r="S821" s="5"/>
      <c r="T821" s="5"/>
    </row>
    <row r="822" spans="1:20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R822" s="5"/>
      <c r="S822" s="5"/>
      <c r="T822" s="5"/>
    </row>
    <row r="823" spans="1:20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R823" s="5"/>
      <c r="S823" s="5"/>
      <c r="T823" s="5"/>
    </row>
    <row r="824" spans="1:20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R824" s="5"/>
      <c r="S824" s="5"/>
      <c r="T824" s="5"/>
    </row>
    <row r="825" spans="1:20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R825" s="5"/>
      <c r="S825" s="5"/>
      <c r="T825" s="5"/>
    </row>
    <row r="826" spans="1:20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R826" s="5"/>
      <c r="S826" s="5"/>
      <c r="T826" s="5"/>
    </row>
    <row r="827" spans="1:20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R827" s="5"/>
      <c r="S827" s="5"/>
      <c r="T827" s="5"/>
    </row>
    <row r="828" spans="1:20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R828" s="5"/>
      <c r="S828" s="5"/>
      <c r="T828" s="5"/>
    </row>
    <row r="829" spans="1:20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R829" s="5"/>
      <c r="S829" s="5"/>
      <c r="T829" s="5"/>
    </row>
    <row r="830" spans="1:20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R830" s="5"/>
      <c r="S830" s="5"/>
      <c r="T830" s="5"/>
    </row>
    <row r="831" spans="1:20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R831" s="5"/>
      <c r="S831" s="5"/>
      <c r="T831" s="5"/>
    </row>
    <row r="832" spans="1:20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R832" s="5"/>
      <c r="S832" s="5"/>
      <c r="T832" s="5"/>
    </row>
    <row r="833" spans="1:20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R833" s="5"/>
      <c r="S833" s="5"/>
      <c r="T833" s="5"/>
    </row>
    <row r="834" spans="1:20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R834" s="5"/>
      <c r="S834" s="5"/>
      <c r="T834" s="5"/>
    </row>
    <row r="835" spans="1:20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R835" s="5"/>
      <c r="S835" s="5"/>
      <c r="T835" s="5"/>
    </row>
    <row r="836" spans="1:20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R836" s="5"/>
      <c r="S836" s="5"/>
      <c r="T836" s="5"/>
    </row>
    <row r="837" spans="1:20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R837" s="5"/>
      <c r="S837" s="5"/>
      <c r="T837" s="5"/>
    </row>
    <row r="838" spans="1:20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R838" s="5"/>
      <c r="S838" s="5"/>
      <c r="T838" s="5"/>
    </row>
    <row r="839" spans="1:20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R839" s="5"/>
      <c r="S839" s="5"/>
      <c r="T839" s="5"/>
    </row>
    <row r="840" spans="1:20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R840" s="5"/>
      <c r="S840" s="5"/>
      <c r="T840" s="5"/>
    </row>
    <row r="841" spans="1:20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R841" s="5"/>
      <c r="S841" s="5"/>
      <c r="T841" s="5"/>
    </row>
    <row r="842" spans="1:20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R842" s="5"/>
      <c r="S842" s="5"/>
      <c r="T842" s="5"/>
    </row>
    <row r="843" spans="1:20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R843" s="5"/>
      <c r="S843" s="5"/>
      <c r="T843" s="5"/>
    </row>
    <row r="844" spans="1:20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R844" s="5"/>
      <c r="S844" s="5"/>
      <c r="T844" s="5"/>
    </row>
    <row r="845" spans="1:20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R845" s="5"/>
      <c r="S845" s="5"/>
      <c r="T845" s="5"/>
    </row>
    <row r="846" spans="1:20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R846" s="5"/>
      <c r="S846" s="5"/>
      <c r="T846" s="5"/>
    </row>
    <row r="847" spans="1:20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R847" s="5"/>
      <c r="S847" s="5"/>
      <c r="T847" s="5"/>
    </row>
    <row r="848" spans="1:20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R848" s="5"/>
      <c r="S848" s="5"/>
      <c r="T848" s="5"/>
    </row>
    <row r="849" spans="1:20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R849" s="5"/>
      <c r="S849" s="5"/>
      <c r="T849" s="5"/>
    </row>
    <row r="850" spans="1:20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R850" s="5"/>
      <c r="S850" s="5"/>
      <c r="T850" s="5"/>
    </row>
    <row r="851" spans="1:20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R851" s="5"/>
      <c r="S851" s="5"/>
      <c r="T851" s="5"/>
    </row>
    <row r="852" spans="1:20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R852" s="5"/>
      <c r="S852" s="5"/>
      <c r="T852" s="5"/>
    </row>
    <row r="853" spans="1:20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R853" s="5"/>
      <c r="S853" s="5"/>
      <c r="T853" s="5"/>
    </row>
    <row r="854" spans="1:20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R854" s="5"/>
      <c r="S854" s="5"/>
      <c r="T854" s="5"/>
    </row>
    <row r="855" spans="1:20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R855" s="5"/>
      <c r="S855" s="5"/>
      <c r="T855" s="5"/>
    </row>
    <row r="856" spans="1:20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R856" s="5"/>
      <c r="S856" s="5"/>
      <c r="T856" s="5"/>
    </row>
    <row r="857" spans="1:20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R857" s="5"/>
      <c r="S857" s="5"/>
      <c r="T857" s="5"/>
    </row>
    <row r="858" spans="1:20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R858" s="5"/>
      <c r="S858" s="5"/>
      <c r="T858" s="5"/>
    </row>
    <row r="859" spans="1:20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R859" s="5"/>
      <c r="S859" s="5"/>
      <c r="T859" s="5"/>
    </row>
    <row r="860" spans="1:20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R860" s="5"/>
      <c r="S860" s="5"/>
      <c r="T860" s="5"/>
    </row>
    <row r="861" spans="1:20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R861" s="5"/>
      <c r="S861" s="5"/>
      <c r="T861" s="5"/>
    </row>
    <row r="862" spans="1:20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R862" s="5"/>
      <c r="S862" s="5"/>
      <c r="T862" s="5"/>
    </row>
    <row r="863" spans="1:20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R863" s="5"/>
      <c r="S863" s="5"/>
      <c r="T863" s="5"/>
    </row>
    <row r="864" spans="1:20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R864" s="5"/>
      <c r="S864" s="5"/>
      <c r="T864" s="5"/>
    </row>
    <row r="865" spans="1:20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R865" s="5"/>
      <c r="S865" s="5"/>
      <c r="T865" s="5"/>
    </row>
    <row r="866" spans="1:20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R866" s="5"/>
      <c r="S866" s="5"/>
      <c r="T866" s="5"/>
    </row>
    <row r="867" spans="1:20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R867" s="5"/>
      <c r="S867" s="5"/>
      <c r="T867" s="5"/>
    </row>
    <row r="868" spans="1:20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R868" s="5"/>
      <c r="S868" s="5"/>
      <c r="T868" s="5"/>
    </row>
    <row r="869" spans="1:20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R869" s="5"/>
      <c r="S869" s="5"/>
      <c r="T869" s="5"/>
    </row>
    <row r="870" spans="1:20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R870" s="5"/>
      <c r="S870" s="5"/>
      <c r="T870" s="5"/>
    </row>
    <row r="871" spans="1:20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R871" s="5"/>
      <c r="S871" s="5"/>
      <c r="T871" s="5"/>
    </row>
    <row r="872" spans="1:20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R872" s="5"/>
      <c r="S872" s="5"/>
      <c r="T872" s="5"/>
    </row>
    <row r="873" spans="1:20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R873" s="5"/>
      <c r="S873" s="5"/>
      <c r="T873" s="5"/>
    </row>
    <row r="874" spans="1:20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R874" s="5"/>
      <c r="S874" s="5"/>
      <c r="T874" s="5"/>
    </row>
    <row r="875" spans="1:20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R875" s="5"/>
      <c r="S875" s="5"/>
      <c r="T875" s="5"/>
    </row>
    <row r="876" spans="1:20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R876" s="5"/>
      <c r="S876" s="5"/>
      <c r="T876" s="5"/>
    </row>
    <row r="877" spans="1:20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R877" s="5"/>
      <c r="S877" s="5"/>
      <c r="T877" s="5"/>
    </row>
    <row r="878" spans="1:20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R878" s="5"/>
      <c r="S878" s="5"/>
      <c r="T878" s="5"/>
    </row>
    <row r="879" spans="1:20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R879" s="5"/>
      <c r="S879" s="5"/>
      <c r="T879" s="5"/>
    </row>
    <row r="880" spans="1:20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R880" s="5"/>
      <c r="S880" s="5"/>
      <c r="T880" s="5"/>
    </row>
    <row r="881" spans="1:20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R881" s="5"/>
      <c r="S881" s="5"/>
      <c r="T881" s="5"/>
    </row>
    <row r="882" spans="1:20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R882" s="5"/>
      <c r="S882" s="5"/>
      <c r="T882" s="5"/>
    </row>
    <row r="883" spans="1:20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R883" s="5"/>
      <c r="S883" s="5"/>
      <c r="T883" s="5"/>
    </row>
    <row r="884" spans="1:20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R884" s="5"/>
      <c r="S884" s="5"/>
      <c r="T884" s="5"/>
    </row>
    <row r="885" spans="1:20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R885" s="5"/>
      <c r="S885" s="5"/>
      <c r="T885" s="5"/>
    </row>
    <row r="886" spans="1:20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R886" s="5"/>
      <c r="S886" s="5"/>
      <c r="T886" s="5"/>
    </row>
    <row r="887" spans="1:20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R887" s="5"/>
      <c r="S887" s="5"/>
      <c r="T887" s="5"/>
    </row>
    <row r="888" spans="1:20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R888" s="5"/>
      <c r="S888" s="5"/>
      <c r="T888" s="5"/>
    </row>
    <row r="889" spans="1:20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R889" s="5"/>
      <c r="S889" s="5"/>
      <c r="T889" s="5"/>
    </row>
    <row r="890" spans="1:20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R890" s="5"/>
      <c r="S890" s="5"/>
      <c r="T890" s="5"/>
    </row>
    <row r="891" spans="1:20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R891" s="5"/>
      <c r="S891" s="5"/>
      <c r="T891" s="5"/>
    </row>
    <row r="892" spans="1:20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R892" s="5"/>
      <c r="S892" s="5"/>
      <c r="T892" s="5"/>
    </row>
    <row r="893" spans="1:20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R893" s="5"/>
      <c r="S893" s="5"/>
      <c r="T893" s="5"/>
    </row>
    <row r="894" spans="1:20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R894" s="5"/>
      <c r="S894" s="5"/>
      <c r="T894" s="5"/>
    </row>
    <row r="895" spans="1:20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R895" s="5"/>
      <c r="S895" s="5"/>
      <c r="T895" s="5"/>
    </row>
    <row r="896" spans="1:20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R896" s="5"/>
      <c r="S896" s="5"/>
      <c r="T896" s="5"/>
    </row>
    <row r="897" spans="1:20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R897" s="5"/>
      <c r="S897" s="5"/>
      <c r="T897" s="5"/>
    </row>
    <row r="898" spans="1:20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R898" s="5"/>
      <c r="S898" s="5"/>
      <c r="T898" s="5"/>
    </row>
    <row r="899" spans="1:20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R899" s="5"/>
      <c r="S899" s="5"/>
      <c r="T899" s="5"/>
    </row>
    <row r="900" spans="1:20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R900" s="5"/>
      <c r="S900" s="5"/>
      <c r="T900" s="5"/>
    </row>
    <row r="901" spans="1:20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R901" s="5"/>
      <c r="S901" s="5"/>
      <c r="T901" s="5"/>
    </row>
    <row r="902" spans="1:20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R902" s="5"/>
      <c r="S902" s="5"/>
      <c r="T902" s="5"/>
    </row>
    <row r="903" spans="1:20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R903" s="5"/>
      <c r="S903" s="5"/>
      <c r="T903" s="5"/>
    </row>
    <row r="904" spans="1:20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R904" s="5"/>
      <c r="S904" s="5"/>
      <c r="T904" s="5"/>
    </row>
    <row r="905" spans="1:20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R905" s="5"/>
      <c r="S905" s="5"/>
      <c r="T905" s="5"/>
    </row>
    <row r="906" spans="1:20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R906" s="5"/>
      <c r="S906" s="5"/>
      <c r="T906" s="5"/>
    </row>
    <row r="907" spans="1:20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R907" s="5"/>
      <c r="S907" s="5"/>
      <c r="T907" s="5"/>
    </row>
    <row r="908" spans="1:20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R908" s="5"/>
      <c r="S908" s="5"/>
      <c r="T908" s="5"/>
    </row>
    <row r="909" spans="1:20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R909" s="5"/>
      <c r="S909" s="5"/>
      <c r="T909" s="5"/>
    </row>
    <row r="910" spans="1:20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R910" s="5"/>
      <c r="S910" s="5"/>
      <c r="T910" s="5"/>
    </row>
    <row r="911" spans="1:20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R911" s="5"/>
      <c r="S911" s="5"/>
      <c r="T911" s="5"/>
    </row>
    <row r="912" spans="1:20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R912" s="5"/>
      <c r="S912" s="5"/>
      <c r="T912" s="5"/>
    </row>
    <row r="913" spans="1:20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R913" s="5"/>
      <c r="S913" s="5"/>
      <c r="T913" s="5"/>
    </row>
    <row r="914" spans="1:20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R914" s="5"/>
      <c r="S914" s="5"/>
      <c r="T914" s="5"/>
    </row>
    <row r="915" spans="1:20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R915" s="5"/>
      <c r="S915" s="5"/>
      <c r="T915" s="5"/>
    </row>
    <row r="916" spans="1:20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R916" s="5"/>
      <c r="S916" s="5"/>
      <c r="T916" s="5"/>
    </row>
    <row r="917" spans="1:20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R917" s="5"/>
      <c r="S917" s="5"/>
      <c r="T917" s="5"/>
    </row>
    <row r="918" spans="1:20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R918" s="5"/>
      <c r="S918" s="5"/>
      <c r="T918" s="5"/>
    </row>
    <row r="919" spans="1:20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R919" s="5"/>
      <c r="S919" s="5"/>
      <c r="T919" s="5"/>
    </row>
    <row r="920" spans="1:20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R920" s="5"/>
      <c r="S920" s="5"/>
      <c r="T920" s="5"/>
    </row>
    <row r="921" spans="1:20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R921" s="5"/>
      <c r="S921" s="5"/>
      <c r="T921" s="5"/>
    </row>
    <row r="922" spans="1:20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R922" s="5"/>
      <c r="S922" s="5"/>
      <c r="T922" s="5"/>
    </row>
    <row r="923" spans="1:20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R923" s="5"/>
      <c r="S923" s="5"/>
      <c r="T923" s="5"/>
    </row>
    <row r="924" spans="1:20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R924" s="5"/>
      <c r="S924" s="5"/>
      <c r="T924" s="5"/>
    </row>
    <row r="925" spans="1:20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R925" s="5"/>
      <c r="S925" s="5"/>
      <c r="T925" s="5"/>
    </row>
    <row r="926" spans="1:20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R926" s="5"/>
      <c r="S926" s="5"/>
      <c r="T926" s="5"/>
    </row>
    <row r="927" spans="1:20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R927" s="5"/>
      <c r="S927" s="5"/>
      <c r="T927" s="5"/>
    </row>
    <row r="928" spans="1:20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R928" s="5"/>
      <c r="S928" s="5"/>
      <c r="T928" s="5"/>
    </row>
    <row r="929" spans="1:20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R929" s="5"/>
      <c r="S929" s="5"/>
      <c r="T929" s="5"/>
    </row>
    <row r="930" spans="1:20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R930" s="5"/>
      <c r="S930" s="5"/>
      <c r="T930" s="5"/>
    </row>
    <row r="931" spans="1:20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R931" s="5"/>
      <c r="S931" s="5"/>
      <c r="T931" s="5"/>
    </row>
    <row r="932" spans="1:20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R932" s="5"/>
      <c r="S932" s="5"/>
      <c r="T932" s="5"/>
    </row>
    <row r="933" spans="1:20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R933" s="5"/>
      <c r="S933" s="5"/>
      <c r="T933" s="5"/>
    </row>
    <row r="934" spans="1:20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R934" s="5"/>
      <c r="S934" s="5"/>
      <c r="T934" s="5"/>
    </row>
    <row r="935" spans="1:20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R935" s="5"/>
      <c r="S935" s="5"/>
      <c r="T935" s="5"/>
    </row>
    <row r="936" spans="1:20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R936" s="5"/>
      <c r="S936" s="5"/>
      <c r="T936" s="5"/>
    </row>
    <row r="937" spans="1:20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R937" s="5"/>
      <c r="S937" s="5"/>
      <c r="T937" s="5"/>
    </row>
    <row r="938" spans="1:20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R938" s="5"/>
      <c r="S938" s="5"/>
      <c r="T938" s="5"/>
    </row>
    <row r="939" spans="1:20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R939" s="5"/>
      <c r="S939" s="5"/>
      <c r="T939" s="5"/>
    </row>
    <row r="940" spans="1:20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R940" s="5"/>
      <c r="S940" s="5"/>
      <c r="T940" s="5"/>
    </row>
    <row r="941" spans="1:20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R941" s="5"/>
      <c r="S941" s="5"/>
      <c r="T941" s="5"/>
    </row>
    <row r="942" spans="1:20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R942" s="5"/>
      <c r="S942" s="5"/>
      <c r="T942" s="5"/>
    </row>
    <row r="943" spans="1:20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R943" s="5"/>
      <c r="S943" s="5"/>
      <c r="T943" s="5"/>
    </row>
    <row r="944" spans="1:20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R944" s="5"/>
      <c r="S944" s="5"/>
      <c r="T944" s="5"/>
    </row>
    <row r="945" spans="1:20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R945" s="5"/>
      <c r="S945" s="5"/>
      <c r="T945" s="5"/>
    </row>
    <row r="946" spans="1:20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R946" s="5"/>
      <c r="S946" s="5"/>
      <c r="T946" s="5"/>
    </row>
    <row r="947" spans="1:20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R947" s="5"/>
      <c r="S947" s="5"/>
      <c r="T947" s="5"/>
    </row>
    <row r="948" spans="1:20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R948" s="5"/>
      <c r="S948" s="5"/>
      <c r="T948" s="5"/>
    </row>
    <row r="949" spans="1:20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R949" s="5"/>
      <c r="S949" s="5"/>
      <c r="T949" s="5"/>
    </row>
    <row r="950" spans="1:20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R950" s="5"/>
      <c r="S950" s="5"/>
      <c r="T950" s="5"/>
    </row>
    <row r="951" spans="1:20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R951" s="5"/>
      <c r="S951" s="5"/>
      <c r="T951" s="5"/>
    </row>
    <row r="952" spans="1:20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R952" s="5"/>
      <c r="S952" s="5"/>
      <c r="T952" s="5"/>
    </row>
    <row r="953" spans="1:20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R953" s="5"/>
      <c r="S953" s="5"/>
      <c r="T953" s="5"/>
    </row>
    <row r="954" spans="1:20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R954" s="5"/>
      <c r="S954" s="5"/>
      <c r="T954" s="5"/>
    </row>
    <row r="955" spans="1:20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R955" s="5"/>
      <c r="S955" s="5"/>
      <c r="T955" s="5"/>
    </row>
    <row r="956" spans="1:20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R956" s="5"/>
      <c r="S956" s="5"/>
      <c r="T956" s="5"/>
    </row>
    <row r="957" spans="1:20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R957" s="5"/>
      <c r="S957" s="5"/>
      <c r="T957" s="5"/>
    </row>
    <row r="958" spans="1:20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R958" s="5"/>
      <c r="S958" s="5"/>
      <c r="T958" s="5"/>
    </row>
    <row r="959" spans="1:20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R959" s="5"/>
      <c r="S959" s="5"/>
      <c r="T959" s="5"/>
    </row>
    <row r="960" spans="1:20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R960" s="5"/>
      <c r="S960" s="5"/>
      <c r="T960" s="5"/>
    </row>
    <row r="961" spans="1:20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R961" s="5"/>
      <c r="S961" s="5"/>
      <c r="T961" s="5"/>
    </row>
    <row r="962" spans="1:20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R962" s="5"/>
      <c r="S962" s="5"/>
      <c r="T962" s="5"/>
    </row>
    <row r="963" spans="1:20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R963" s="5"/>
      <c r="S963" s="5"/>
      <c r="T963" s="5"/>
    </row>
    <row r="964" spans="1:20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R964" s="5"/>
      <c r="S964" s="5"/>
      <c r="T964" s="5"/>
    </row>
    <row r="965" spans="1:20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R965" s="5"/>
      <c r="S965" s="5"/>
      <c r="T965" s="5"/>
    </row>
    <row r="966" spans="1:20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R966" s="5"/>
      <c r="S966" s="5"/>
      <c r="T966" s="5"/>
    </row>
    <row r="967" spans="1:20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R967" s="5"/>
      <c r="S967" s="5"/>
      <c r="T967" s="5"/>
    </row>
    <row r="968" spans="1:20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R968" s="5"/>
      <c r="S968" s="5"/>
      <c r="T968" s="5"/>
    </row>
    <row r="969" spans="1:20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R969" s="5"/>
      <c r="S969" s="5"/>
      <c r="T969" s="5"/>
    </row>
    <row r="970" spans="1:20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R970" s="5"/>
      <c r="S970" s="5"/>
      <c r="T970" s="5"/>
    </row>
    <row r="971" spans="1:20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R971" s="5"/>
      <c r="S971" s="5"/>
      <c r="T971" s="5"/>
    </row>
    <row r="972" spans="1:20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R972" s="5"/>
      <c r="S972" s="5"/>
      <c r="T972" s="5"/>
    </row>
    <row r="973" spans="1:20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R973" s="5"/>
      <c r="S973" s="5"/>
      <c r="T973" s="5"/>
    </row>
    <row r="974" spans="1:20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R974" s="5"/>
      <c r="S974" s="5"/>
      <c r="T974" s="5"/>
    </row>
    <row r="975" spans="1:20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R975" s="5"/>
      <c r="S975" s="5"/>
      <c r="T975" s="5"/>
    </row>
    <row r="976" spans="1:20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R976" s="5"/>
      <c r="S976" s="5"/>
      <c r="T976" s="5"/>
    </row>
    <row r="977" spans="1:20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R977" s="5"/>
      <c r="S977" s="5"/>
      <c r="T977" s="5"/>
    </row>
    <row r="978" spans="1:20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R978" s="5"/>
      <c r="S978" s="5"/>
      <c r="T978" s="5"/>
    </row>
    <row r="979" spans="1:20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R979" s="5"/>
      <c r="S979" s="5"/>
      <c r="T979" s="5"/>
    </row>
    <row r="980" spans="1:20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R980" s="5"/>
      <c r="S980" s="5"/>
      <c r="T980" s="5"/>
    </row>
    <row r="981" spans="1:20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R981" s="5"/>
      <c r="S981" s="5"/>
      <c r="T981" s="5"/>
    </row>
    <row r="982" spans="1:20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R982" s="5"/>
      <c r="S982" s="5"/>
      <c r="T982" s="5"/>
    </row>
    <row r="983" spans="1:20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R983" s="5"/>
      <c r="S983" s="5"/>
      <c r="T983" s="5"/>
    </row>
    <row r="984" spans="1:20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R984" s="5"/>
      <c r="S984" s="5"/>
      <c r="T984" s="5"/>
    </row>
    <row r="985" spans="1:20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R985" s="5"/>
      <c r="S985" s="5"/>
      <c r="T985" s="5"/>
    </row>
    <row r="986" spans="1:20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R986" s="5"/>
      <c r="S986" s="5"/>
      <c r="T986" s="5"/>
    </row>
    <row r="987" spans="1:20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R987" s="5"/>
      <c r="S987" s="5"/>
      <c r="T987" s="5"/>
    </row>
    <row r="988" spans="1:20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R988" s="5"/>
      <c r="S988" s="5"/>
      <c r="T988" s="5"/>
    </row>
    <row r="989" spans="1:20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R989" s="5"/>
      <c r="S989" s="5"/>
      <c r="T989" s="5"/>
    </row>
    <row r="990" spans="1:20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R990" s="5"/>
      <c r="S990" s="5"/>
      <c r="T990" s="5"/>
    </row>
    <row r="991" spans="1:20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R991" s="5"/>
      <c r="S991" s="5"/>
      <c r="T991" s="5"/>
    </row>
    <row r="992" spans="1:20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R992" s="5"/>
      <c r="S992" s="5"/>
      <c r="T992" s="5"/>
    </row>
    <row r="993" spans="1:20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R993" s="5"/>
      <c r="S993" s="5"/>
      <c r="T993" s="5"/>
    </row>
    <row r="994" spans="1:20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R994" s="5"/>
      <c r="S994" s="5"/>
      <c r="T994" s="5"/>
    </row>
    <row r="995" spans="1:20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R995" s="5"/>
      <c r="S995" s="5"/>
      <c r="T995" s="5"/>
    </row>
    <row r="996" spans="1:20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R996" s="5"/>
      <c r="S996" s="5"/>
      <c r="T996" s="5"/>
    </row>
    <row r="997" spans="1:20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R997" s="5"/>
      <c r="S997" s="5"/>
      <c r="T997" s="5"/>
    </row>
    <row r="998" spans="1:20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R998" s="5"/>
      <c r="S998" s="5"/>
      <c r="T998" s="5"/>
    </row>
    <row r="999" spans="1:20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R999" s="5"/>
      <c r="S999" s="5"/>
      <c r="T999" s="5"/>
    </row>
    <row r="1000" spans="1:20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R1000" s="5"/>
      <c r="S1000" s="5"/>
      <c r="T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Рассчет прогноза выручки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D.Elistratov</dc:creator>
  <cp:lastModifiedBy>DA  151.2.1</cp:lastModifiedBy>
  <dcterms:created xsi:type="dcterms:W3CDTF">2015-06-05T18:17:20Z</dcterms:created>
  <dcterms:modified xsi:type="dcterms:W3CDTF">2026-02-06T15:57:43Z</dcterms:modified>
</cp:coreProperties>
</file>